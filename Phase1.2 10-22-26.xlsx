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\Downloads\"/>
    </mc:Choice>
  </mc:AlternateContent>
  <xr:revisionPtr revIDLastSave="0" documentId="13_ncr:1_{866D1650-DC6F-4985-BAF1-950241B1E47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shboard" sheetId="1" r:id="rId1"/>
    <sheet name="Performance" sheetId="2" r:id="rId2"/>
    <sheet name="Monthly Performance" sheetId="4" r:id="rId3"/>
    <sheet name="Expenses" sheetId="5" r:id="rId4"/>
    <sheet name="Transactions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4" l="1"/>
  <c r="C14" i="5"/>
  <c r="D14" i="5" s="1"/>
  <c r="C13" i="5"/>
  <c r="D13" i="5" s="1"/>
  <c r="C12" i="5"/>
  <c r="D12" i="5" s="1"/>
  <c r="C11" i="5"/>
  <c r="D11" i="5" s="1"/>
  <c r="C10" i="5"/>
  <c r="D10" i="5" s="1"/>
  <c r="C9" i="5"/>
  <c r="D9" i="5" s="1"/>
  <c r="C8" i="5"/>
  <c r="D8" i="5" s="1"/>
  <c r="C7" i="5"/>
  <c r="D7" i="5" s="1"/>
  <c r="C8" i="4"/>
  <c r="E7" i="4"/>
  <c r="D7" i="4"/>
  <c r="D75" i="2"/>
  <c r="D74" i="2"/>
  <c r="D73" i="2"/>
  <c r="D72" i="2"/>
  <c r="D71" i="2"/>
  <c r="D68" i="2"/>
  <c r="D67" i="2"/>
  <c r="D69" i="2" s="1"/>
  <c r="D70" i="2" s="1"/>
  <c r="R23" i="2"/>
  <c r="K23" i="2"/>
  <c r="T16" i="2"/>
  <c r="N16" i="2"/>
  <c r="H16" i="2"/>
  <c r="K8" i="2"/>
  <c r="E8" i="2"/>
  <c r="Q8" i="2" s="1"/>
  <c r="W8" i="2" s="1"/>
  <c r="K8" i="1"/>
  <c r="E8" i="1"/>
  <c r="Q8" i="1" s="1"/>
  <c r="W8" i="1" s="1"/>
  <c r="X3" i="1"/>
  <c r="D16" i="5" l="1"/>
  <c r="E7" i="5" s="1"/>
  <c r="C9" i="4"/>
  <c r="E8" i="4"/>
  <c r="D8" i="4"/>
  <c r="F7" i="4"/>
  <c r="H8" i="4"/>
  <c r="E12" i="5" l="1"/>
  <c r="E9" i="5"/>
  <c r="E13" i="5"/>
  <c r="E14" i="5"/>
  <c r="E8" i="5"/>
  <c r="E10" i="5"/>
  <c r="E11" i="5"/>
  <c r="D17" i="5"/>
  <c r="E9" i="4"/>
  <c r="C10" i="4"/>
  <c r="D9" i="4"/>
  <c r="H9" i="4" s="1"/>
  <c r="F8" i="4"/>
  <c r="G7" i="4"/>
  <c r="D10" i="4" l="1"/>
  <c r="E10" i="4"/>
  <c r="C11" i="4"/>
  <c r="F9" i="4"/>
  <c r="G9" i="4" s="1"/>
  <c r="G8" i="4"/>
  <c r="E16" i="5"/>
  <c r="F10" i="4" l="1"/>
  <c r="D11" i="4"/>
  <c r="H11" i="4" s="1"/>
  <c r="E11" i="4"/>
  <c r="C12" i="4"/>
  <c r="H10" i="4"/>
  <c r="G10" i="4" l="1"/>
  <c r="F11" i="4"/>
  <c r="G11" i="4" s="1"/>
  <c r="D12" i="4"/>
  <c r="H12" i="4" s="1"/>
  <c r="E12" i="4"/>
  <c r="C13" i="4"/>
  <c r="F12" i="4" l="1"/>
  <c r="D13" i="4"/>
  <c r="H13" i="4" s="1"/>
  <c r="E13" i="4"/>
  <c r="C14" i="4"/>
  <c r="G12" i="4" l="1"/>
  <c r="F13" i="4"/>
  <c r="D14" i="4"/>
  <c r="H14" i="4" s="1"/>
  <c r="E14" i="4"/>
  <c r="C15" i="4"/>
  <c r="F14" i="4" l="1"/>
  <c r="D15" i="4"/>
  <c r="H15" i="4" s="1"/>
  <c r="E15" i="4"/>
  <c r="C16" i="4"/>
  <c r="G13" i="4"/>
  <c r="G14" i="4" l="1"/>
  <c r="F15" i="4"/>
  <c r="D16" i="4"/>
  <c r="H16" i="4" s="1"/>
  <c r="E16" i="4"/>
  <c r="C17" i="4"/>
  <c r="G15" i="4" l="1"/>
  <c r="F16" i="4"/>
  <c r="D17" i="4"/>
  <c r="H17" i="4" s="1"/>
  <c r="E17" i="4"/>
  <c r="C18" i="4"/>
  <c r="G16" i="4" l="1"/>
  <c r="F17" i="4"/>
  <c r="D18" i="4"/>
  <c r="H18" i="4" s="1"/>
  <c r="E18" i="4"/>
  <c r="E19" i="4" s="1"/>
  <c r="E23" i="4" l="1"/>
  <c r="G17" i="4"/>
  <c r="D19" i="4"/>
  <c r="F18" i="4"/>
  <c r="F19" i="4" l="1"/>
  <c r="G19" i="4" s="1"/>
  <c r="E20" i="4"/>
  <c r="C23" i="4"/>
  <c r="G23" i="4"/>
  <c r="G18" i="4"/>
</calcChain>
</file>

<file path=xl/sharedStrings.xml><?xml version="1.0" encoding="utf-8"?>
<sst xmlns="http://schemas.openxmlformats.org/spreadsheetml/2006/main" count="393" uniqueCount="80">
  <si>
    <t>GULDATA</t>
  </si>
  <si>
    <t>BUSINESS FINANCIAL DASHBOARD</t>
  </si>
  <si>
    <t>LOOK BACK TO ADVANCE</t>
  </si>
  <si>
    <t>TOTAL REVENUE:</t>
  </si>
  <si>
    <t>TOTAL EXPENSES:</t>
  </si>
  <si>
    <t xml:space="preserve">      PROFIT:</t>
  </si>
  <si>
    <t>PROFIT MARGIN:</t>
  </si>
  <si>
    <t>TRANSACTIONS:</t>
  </si>
  <si>
    <t>REVENUE COUNT:</t>
  </si>
  <si>
    <t>EXPENSE COUNT:</t>
  </si>
  <si>
    <t>AVG. REVENUE:</t>
  </si>
  <si>
    <t>AVG. EXPENSE:</t>
  </si>
  <si>
    <t>Metric</t>
  </si>
  <si>
    <t>Value</t>
  </si>
  <si>
    <t>What It Tells</t>
  </si>
  <si>
    <t>Total Revenue:</t>
  </si>
  <si>
    <t>Money Earned</t>
  </si>
  <si>
    <t>Total Expenses:</t>
  </si>
  <si>
    <t>Money Spent</t>
  </si>
  <si>
    <t>Net Profit:</t>
  </si>
  <si>
    <t>Revenue - Expenses</t>
  </si>
  <si>
    <t>Profit Margin:</t>
  </si>
  <si>
    <t>Share of Revenue Remaining as Profit</t>
  </si>
  <si>
    <t>Total Transactions:</t>
  </si>
  <si>
    <t>All recorded transactions</t>
  </si>
  <si>
    <t>Revenue Transactions:</t>
  </si>
  <si>
    <t>Number Of Incoming Payments</t>
  </si>
  <si>
    <t>Expense Transactions:</t>
  </si>
  <si>
    <t>Number Of Outgoing Payments</t>
  </si>
  <si>
    <t>Avg. Revenue Transaction:</t>
  </si>
  <si>
    <t>Average Income Payment</t>
  </si>
  <si>
    <t>Avg. Expense Transaction:</t>
  </si>
  <si>
    <t>Average Expense</t>
  </si>
  <si>
    <t>DATE</t>
  </si>
  <si>
    <t>DESCRIPTION</t>
  </si>
  <si>
    <t>TYPE</t>
  </si>
  <si>
    <t>CATEGORY</t>
  </si>
  <si>
    <t>AMOUNT</t>
  </si>
  <si>
    <t>Client payment</t>
  </si>
  <si>
    <t>Revenue</t>
  </si>
  <si>
    <t>Services</t>
  </si>
  <si>
    <t>Office supplies</t>
  </si>
  <si>
    <t>Expense</t>
  </si>
  <si>
    <t>Supplies</t>
  </si>
  <si>
    <t>Monthly software</t>
  </si>
  <si>
    <t>Software</t>
  </si>
  <si>
    <t>Online advertising</t>
  </si>
  <si>
    <t>Marketing</t>
  </si>
  <si>
    <t>Internet bill</t>
  </si>
  <si>
    <t>Utilities</t>
  </si>
  <si>
    <t>Printing costs</t>
  </si>
  <si>
    <t>Equipment repair</t>
  </si>
  <si>
    <t>Repairs</t>
  </si>
  <si>
    <t>Equipment purchase</t>
  </si>
  <si>
    <t>Equipment</t>
  </si>
  <si>
    <t>Travel expense</t>
  </si>
  <si>
    <t>Travel</t>
  </si>
  <si>
    <t>Bank fees</t>
  </si>
  <si>
    <t>Bank Fees</t>
  </si>
  <si>
    <t>Marketing materials</t>
  </si>
  <si>
    <t>Equipment maintenance</t>
  </si>
  <si>
    <t>Month</t>
  </si>
  <si>
    <t>Profit</t>
  </si>
  <si>
    <t>Margin</t>
  </si>
  <si>
    <t>Rev. Growth</t>
  </si>
  <si>
    <t>-</t>
  </si>
  <si>
    <t>TOTAL</t>
  </si>
  <si>
    <t>Check vs. Dashboard:</t>
  </si>
  <si>
    <t>BEST MONTH (PROFIT):</t>
  </si>
  <si>
    <t>LOWEST MONTH (PROFIT):</t>
  </si>
  <si>
    <t>AVG. MONTHLY PROFIT:</t>
  </si>
  <si>
    <t>Best / lowest month = highest / lowest profit among months that have revenue. Green and red highlights in the Profit column match.</t>
  </si>
  <si>
    <t>% OF EXPENSES</t>
  </si>
  <si>
    <t>VALID CATEGORIES</t>
  </si>
  <si>
    <t>VALID TYPES</t>
  </si>
  <si>
    <t>TOTAL EXPENSES</t>
  </si>
  <si>
    <t>CHECK VS. DASHBOARD</t>
  </si>
  <si>
    <t>To add a category: type it in the next empty cell of this list,</t>
  </si>
  <si>
    <t>then extend the list range in the data validation for TRANSACTIONS &gt; CATEGORY.</t>
  </si>
  <si>
    <t>Totals pull from the Transactions table. "CHECK" means a category is missing from this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</si>
</sst>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£-809]* #,##0.00_-;\-[$£-809]* #,##0.00_-;_-[$£-809]* &quot;-&quot;??_-;_-@_-"/>
    <numFmt numFmtId="165" formatCode="_([$$-409]* #,##0.00_);_([$$-409]* \(#,##0.00\);_([$$-409]* &quot;-&quot;??_);_(@_)"/>
    <numFmt numFmtId="166" formatCode="mmm\ yyyy"/>
    <numFmt numFmtId="167" formatCode="0.0%"/>
    <numFmt numFmtId="168" formatCode="0.0%;[Red]\-0.0%;0.0%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Aptos"/>
    </font>
    <font>
      <sz val="11"/>
      <color theme="1"/>
      <name val="Aptos"/>
      <family val="2"/>
    </font>
    <font>
      <sz val="12"/>
      <color theme="0"/>
      <name val="Aptos"/>
      <family val="2"/>
    </font>
    <font>
      <i/>
      <sz val="10"/>
      <color theme="0"/>
      <name val="Aptos"/>
      <family val="2"/>
    </font>
    <font>
      <sz val="11"/>
      <color theme="1"/>
      <name val="Times New Roman"/>
    </font>
    <font>
      <b/>
      <sz val="36"/>
      <color theme="0"/>
      <name val="Times New Roman"/>
    </font>
    <font>
      <i/>
      <sz val="11"/>
      <color theme="4" tint="0.39997558519241921"/>
      <name val="Times New Roman"/>
    </font>
    <font>
      <sz val="14"/>
      <color theme="1"/>
      <name val="Times New Roman"/>
    </font>
    <font>
      <sz val="12"/>
      <color theme="0"/>
      <name val="Times New Roman"/>
    </font>
    <font>
      <i/>
      <sz val="10"/>
      <color theme="0"/>
      <name val="Times New Roman"/>
    </font>
    <font>
      <i/>
      <sz val="11"/>
      <color theme="4" tint="0.59999389629810485"/>
      <name val="Times New Roman"/>
    </font>
    <font>
      <sz val="11"/>
      <color theme="0"/>
      <name val="Aptos"/>
    </font>
    <font>
      <sz val="18"/>
      <color theme="0"/>
      <name val="Times New Roman"/>
    </font>
    <font>
      <sz val="12"/>
      <color theme="4" tint="0.59999389629810485"/>
      <name val="Times New Roman"/>
    </font>
    <font>
      <sz val="11"/>
      <color theme="0"/>
      <name val="Calibri"/>
      <family val="2"/>
      <scheme val="minor"/>
    </font>
    <font>
      <b/>
      <sz val="11"/>
      <color theme="0"/>
      <name val="Aptos"/>
    </font>
    <font>
      <b/>
      <sz val="11"/>
      <color theme="1"/>
      <name val="Aptos"/>
    </font>
    <font>
      <b/>
      <i/>
      <sz val="11"/>
      <color theme="8" tint="-0.499984740745262"/>
      <name val="Aptos"/>
    </font>
    <font>
      <b/>
      <sz val="11"/>
      <color theme="8" tint="-0.499984740745262"/>
      <name val="Aptos"/>
    </font>
    <font>
      <b/>
      <sz val="11"/>
      <color theme="8" tint="-0.499984740745262"/>
      <name val="Calibri"/>
      <family val="2"/>
      <scheme val="minor"/>
    </font>
    <font>
      <i/>
      <sz val="10.5"/>
      <color theme="4" tint="0.39997558519241921"/>
      <name val="Times New Roman"/>
    </font>
    <font>
      <b/>
      <sz val="28"/>
      <color theme="8" tint="-0.499984740745262"/>
      <name val="Aptos"/>
    </font>
    <font>
      <b/>
      <sz val="36"/>
      <color theme="8" tint="-0.499984740745262"/>
      <name val="Aptos"/>
    </font>
    <font>
      <b/>
      <sz val="20"/>
      <color theme="8" tint="-0.499984740745262"/>
      <name val="Aptos"/>
    </font>
    <font>
      <b/>
      <sz val="14"/>
      <color theme="1"/>
      <name val="Times New Roman"/>
    </font>
    <font>
      <b/>
      <sz val="28"/>
      <color theme="8" tint="-0.499984740745262"/>
      <name val="Times New Roman"/>
    </font>
    <font>
      <b/>
      <sz val="20"/>
      <color theme="8" tint="-0.499984740745262"/>
      <name val="Times New Roman"/>
    </font>
    <font>
      <sz val="20"/>
      <color theme="1"/>
      <name val="Aptos"/>
    </font>
    <font>
      <b/>
      <sz val="20"/>
      <color theme="1"/>
      <name val="Aptos"/>
    </font>
    <font>
      <b/>
      <sz val="14"/>
      <color rgb="FFFFFFFF"/>
      <name val="Times New Roman"/>
    </font>
    <font>
      <sz val="14"/>
      <name val="Times New Roman"/>
    </font>
    <font>
      <i/>
      <sz val="10"/>
      <name val="Times New Roman"/>
    </font>
    <font>
      <b/>
      <sz val="14"/>
      <name val="Times New Roman"/>
    </font>
    <font>
      <i/>
      <sz val="11"/>
      <name val="Times New Roman"/>
    </font>
    <font>
      <b/>
      <sz val="11"/>
      <name val="Times New Roman"/>
    </font>
    <font>
      <b/>
      <sz val="16"/>
      <color theme="8" tint="-0.499984740745262"/>
      <name val="Times New Roman"/>
    </font>
    <font>
      <b/>
      <sz val="11"/>
      <color theme="1"/>
      <name val="Calibri"/>
      <family val="2"/>
      <scheme val="minor"/>
    </font>
    <font>
      <b/>
      <sz val="36"/>
      <color theme="8" tint="-0.499984740745262"/>
      <name val="Times New Roman"/>
      <family val="1"/>
    </font>
    <font>
      <b/>
      <sz val="28"/>
      <color theme="8" tint="-0.499984740745262"/>
      <name val="Times New Roman"/>
      <family val="1"/>
    </font>
    <font>
      <sz val="28"/>
      <color theme="1"/>
      <name val="Aptos"/>
      <family val="2"/>
    </font>
    <font>
      <b/>
      <sz val="28"/>
      <color theme="8" tint="-0.499984740745262"/>
      <name val="Aptos"/>
      <family val="2"/>
    </font>
    <font>
      <b/>
      <sz val="22"/>
      <color theme="8" tint="-0.499984740745262"/>
      <name val="Times New Roman"/>
      <family val="1"/>
    </font>
    <font>
      <sz val="22"/>
      <color theme="1"/>
      <name val="Calibri"/>
      <family val="2"/>
      <scheme val="minor"/>
    </font>
    <font>
      <sz val="14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2F5496"/>
      </top>
      <bottom/>
      <diagonal/>
    </border>
    <border>
      <left style="thick">
        <color rgb="FFFFFFFF"/>
      </left>
      <right/>
      <top style="thick">
        <color rgb="FFFFFFFF"/>
      </top>
      <bottom/>
      <diagonal/>
    </border>
    <border>
      <left/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/>
      <top/>
      <bottom/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/>
      <right/>
      <top/>
      <bottom style="medium">
        <color theme="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0" fontId="5" fillId="2" borderId="0" xfId="0" applyFont="1" applyFill="1"/>
    <xf numFmtId="0" fontId="7" fillId="2" borderId="0" xfId="0" applyFont="1" applyFill="1" applyAlignment="1">
      <alignment vertical="top"/>
    </xf>
    <xf numFmtId="165" fontId="8" fillId="0" borderId="0" xfId="0" applyNumberFormat="1" applyFont="1" applyAlignment="1">
      <alignment horizontal="center" vertical="center"/>
    </xf>
    <xf numFmtId="0" fontId="11" fillId="2" borderId="0" xfId="0" applyFont="1" applyFill="1" applyAlignment="1">
      <alignment horizontal="center"/>
    </xf>
    <xf numFmtId="165" fontId="13" fillId="4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10" fontId="13" fillId="4" borderId="0" xfId="0" applyNumberFormat="1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4" fillId="2" borderId="0" xfId="0" applyFont="1" applyFill="1" applyAlignment="1">
      <alignment horizontal="left" wrapText="1"/>
    </xf>
    <xf numFmtId="0" fontId="12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3" borderId="0" xfId="0" applyFont="1" applyFill="1"/>
    <xf numFmtId="0" fontId="17" fillId="0" borderId="0" xfId="0" applyFont="1"/>
    <xf numFmtId="0" fontId="19" fillId="3" borderId="0" xfId="0" applyFont="1" applyFill="1"/>
    <xf numFmtId="0" fontId="19" fillId="0" borderId="0" xfId="0" applyFont="1"/>
    <xf numFmtId="0" fontId="18" fillId="3" borderId="0" xfId="0" applyFont="1" applyFill="1" applyAlignment="1">
      <alignment vertical="center"/>
    </xf>
    <xf numFmtId="0" fontId="20" fillId="0" borderId="0" xfId="0" applyFont="1"/>
    <xf numFmtId="0" fontId="19" fillId="4" borderId="0" xfId="0" applyFont="1" applyFill="1"/>
    <xf numFmtId="0" fontId="22" fillId="3" borderId="0" xfId="0" applyFont="1" applyFill="1"/>
    <xf numFmtId="0" fontId="22" fillId="0" borderId="0" xfId="0" applyFont="1"/>
    <xf numFmtId="0" fontId="23" fillId="4" borderId="0" xfId="0" applyFont="1" applyFill="1"/>
    <xf numFmtId="0" fontId="23" fillId="0" borderId="0" xfId="0" applyFont="1"/>
    <xf numFmtId="0" fontId="24" fillId="4" borderId="0" xfId="0" applyFont="1" applyFill="1"/>
    <xf numFmtId="0" fontId="24" fillId="0" borderId="0" xfId="0" applyFont="1"/>
    <xf numFmtId="164" fontId="5" fillId="2" borderId="0" xfId="0" applyNumberFormat="1" applyFont="1" applyFill="1"/>
    <xf numFmtId="0" fontId="5" fillId="0" borderId="0" xfId="0" applyFont="1"/>
    <xf numFmtId="14" fontId="25" fillId="2" borderId="0" xfId="0" applyNumberFormat="1" applyFont="1" applyFill="1" applyAlignment="1">
      <alignment horizontal="center"/>
    </xf>
    <xf numFmtId="0" fontId="25" fillId="2" borderId="0" xfId="0" applyFont="1" applyFill="1" applyAlignment="1">
      <alignment horizontal="left"/>
    </xf>
    <xf numFmtId="0" fontId="25" fillId="2" borderId="0" xfId="0" applyFont="1" applyFill="1" applyAlignment="1">
      <alignment horizontal="center"/>
    </xf>
    <xf numFmtId="0" fontId="25" fillId="2" borderId="0" xfId="0" applyFont="1" applyFill="1"/>
    <xf numFmtId="1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4" fontId="5" fillId="0" borderId="0" xfId="0" applyNumberFormat="1" applyFont="1"/>
    <xf numFmtId="164" fontId="5" fillId="0" borderId="0" xfId="0" applyNumberFormat="1" applyFont="1"/>
    <xf numFmtId="0" fontId="28" fillId="0" borderId="0" xfId="0" applyFont="1"/>
    <xf numFmtId="0" fontId="24" fillId="3" borderId="0" xfId="0" applyFont="1" applyFill="1"/>
    <xf numFmtId="0" fontId="29" fillId="3" borderId="0" xfId="0" applyFont="1" applyFill="1"/>
    <xf numFmtId="0" fontId="30" fillId="5" borderId="0" xfId="0" applyFont="1" applyFill="1" applyAlignment="1">
      <alignment horizontal="center" vertical="center"/>
    </xf>
    <xf numFmtId="0" fontId="33" fillId="6" borderId="1" xfId="0" applyFont="1" applyFill="1" applyBorder="1" applyAlignment="1">
      <alignment horizontal="center" vertical="center"/>
    </xf>
    <xf numFmtId="165" fontId="33" fillId="6" borderId="1" xfId="0" applyNumberFormat="1" applyFont="1" applyFill="1" applyBorder="1" applyAlignment="1">
      <alignment horizontal="right" vertical="center"/>
    </xf>
    <xf numFmtId="167" fontId="33" fillId="6" borderId="1" xfId="0" applyNumberFormat="1" applyFont="1" applyFill="1" applyBorder="1" applyAlignment="1">
      <alignment horizontal="right" vertical="center"/>
    </xf>
    <xf numFmtId="0" fontId="35" fillId="0" borderId="0" xfId="0" applyFont="1" applyAlignment="1">
      <alignment horizontal="center"/>
    </xf>
    <xf numFmtId="0" fontId="32" fillId="0" borderId="0" xfId="0" applyFont="1"/>
    <xf numFmtId="0" fontId="30" fillId="5" borderId="0" xfId="0" applyFont="1" applyFill="1" applyAlignment="1">
      <alignment horizontal="center"/>
    </xf>
    <xf numFmtId="0" fontId="31" fillId="0" borderId="0" xfId="0" applyFont="1"/>
    <xf numFmtId="165" fontId="31" fillId="0" borderId="0" xfId="0" applyNumberFormat="1" applyFont="1"/>
    <xf numFmtId="167" fontId="31" fillId="0" borderId="0" xfId="0" applyNumberFormat="1" applyFont="1"/>
    <xf numFmtId="0" fontId="33" fillId="0" borderId="0" xfId="0" applyFont="1"/>
    <xf numFmtId="165" fontId="33" fillId="0" borderId="0" xfId="0" applyNumberFormat="1" applyFont="1"/>
    <xf numFmtId="167" fontId="33" fillId="0" borderId="0" xfId="0" applyNumberFormat="1" applyFont="1"/>
    <xf numFmtId="0" fontId="33" fillId="0" borderId="0" xfId="0" applyFont="1" applyAlignment="1">
      <alignment horizontal="right"/>
    </xf>
    <xf numFmtId="0" fontId="41" fillId="3" borderId="0" xfId="0" applyFont="1" applyFill="1"/>
    <xf numFmtId="0" fontId="41" fillId="0" borderId="0" xfId="0" applyFont="1"/>
    <xf numFmtId="166" fontId="31" fillId="7" borderId="0" xfId="0" applyNumberFormat="1" applyFont="1" applyFill="1" applyAlignment="1">
      <alignment horizontal="center" vertical="center"/>
    </xf>
    <xf numFmtId="165" fontId="31" fillId="7" borderId="0" xfId="0" applyNumberFormat="1" applyFont="1" applyFill="1" applyAlignment="1">
      <alignment horizontal="right" vertical="center"/>
    </xf>
    <xf numFmtId="167" fontId="31" fillId="7" borderId="0" xfId="0" applyNumberFormat="1" applyFont="1" applyFill="1" applyAlignment="1">
      <alignment horizontal="right" vertical="center"/>
    </xf>
    <xf numFmtId="168" fontId="31" fillId="7" borderId="0" xfId="0" applyNumberFormat="1" applyFont="1" applyFill="1" applyAlignment="1">
      <alignment horizontal="right" vertical="center"/>
    </xf>
    <xf numFmtId="0" fontId="33" fillId="6" borderId="8" xfId="0" applyFont="1" applyFill="1" applyBorder="1" applyAlignment="1">
      <alignment horizontal="center" vertical="center"/>
    </xf>
    <xf numFmtId="0" fontId="30" fillId="5" borderId="0" xfId="0" applyFont="1" applyFill="1" applyAlignment="1">
      <alignment horizontal="left" vertical="center"/>
    </xf>
    <xf numFmtId="0" fontId="44" fillId="0" borderId="0" xfId="0" applyFont="1"/>
    <xf numFmtId="0" fontId="3" fillId="2" borderId="0" xfId="0" applyFont="1" applyFill="1"/>
    <xf numFmtId="0" fontId="5" fillId="0" borderId="0" xfId="0" applyFont="1"/>
    <xf numFmtId="0" fontId="6" fillId="2" borderId="0" xfId="0" applyFont="1" applyFill="1" applyAlignment="1">
      <alignment vertical="center"/>
    </xf>
    <xf numFmtId="14" fontId="5" fillId="0" borderId="0" xfId="0" applyNumberFormat="1" applyFont="1"/>
    <xf numFmtId="14" fontId="4" fillId="2" borderId="0" xfId="0" applyNumberFormat="1" applyFont="1" applyFill="1" applyAlignment="1">
      <alignment vertical="center"/>
    </xf>
    <xf numFmtId="10" fontId="39" fillId="3" borderId="0" xfId="0" applyNumberFormat="1" applyFont="1" applyFill="1" applyAlignment="1">
      <alignment horizontal="center" vertical="center" wrapText="1"/>
    </xf>
    <xf numFmtId="0" fontId="40" fillId="0" borderId="0" xfId="0" applyFont="1"/>
    <xf numFmtId="0" fontId="18" fillId="3" borderId="0" xfId="0" applyFont="1" applyFill="1" applyAlignment="1">
      <alignment horizontal="center" vertical="center"/>
    </xf>
    <xf numFmtId="0" fontId="1" fillId="0" borderId="0" xfId="0" applyFont="1"/>
    <xf numFmtId="0" fontId="18" fillId="3" borderId="0" xfId="0" applyFont="1" applyFill="1" applyAlignment="1">
      <alignment horizontal="left" vertical="center"/>
    </xf>
    <xf numFmtId="0" fontId="9" fillId="2" borderId="0" xfId="0" applyFont="1" applyFill="1"/>
    <xf numFmtId="165" fontId="39" fillId="3" borderId="0" xfId="0" applyNumberFormat="1" applyFont="1" applyFill="1" applyAlignment="1">
      <alignment horizontal="center" vertical="center" wrapText="1"/>
    </xf>
    <xf numFmtId="0" fontId="21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0" fillId="0" borderId="0" xfId="0"/>
    <xf numFmtId="165" fontId="26" fillId="3" borderId="0" xfId="0" applyNumberFormat="1" applyFont="1" applyFill="1" applyAlignment="1">
      <alignment horizontal="center" vertical="center" wrapText="1"/>
    </xf>
    <xf numFmtId="0" fontId="18" fillId="4" borderId="0" xfId="0" applyFont="1" applyFill="1" applyAlignment="1">
      <alignment horizontal="center" vertical="center"/>
    </xf>
    <xf numFmtId="10" fontId="26" fillId="3" borderId="0" xfId="0" applyNumberFormat="1" applyFont="1" applyFill="1" applyAlignment="1">
      <alignment horizontal="center" vertical="center" wrapText="1"/>
    </xf>
    <xf numFmtId="0" fontId="38" fillId="4" borderId="0" xfId="0" applyFont="1" applyFill="1" applyAlignment="1">
      <alignment horizontal="center" vertical="center" wrapText="1"/>
    </xf>
    <xf numFmtId="0" fontId="37" fillId="0" borderId="0" xfId="0" applyFont="1"/>
    <xf numFmtId="165" fontId="42" fillId="4" borderId="0" xfId="0" applyNumberFormat="1" applyFont="1" applyFill="1" applyAlignment="1">
      <alignment horizontal="center" vertical="center" wrapText="1"/>
    </xf>
    <xf numFmtId="0" fontId="43" fillId="0" borderId="0" xfId="0" applyFont="1"/>
    <xf numFmtId="0" fontId="0" fillId="0" borderId="0" xfId="0" applyAlignment="1">
      <alignment horizontal="center"/>
    </xf>
    <xf numFmtId="0" fontId="32" fillId="0" borderId="0" xfId="0" applyFont="1"/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165" fontId="36" fillId="3" borderId="4" xfId="0" applyNumberFormat="1" applyFont="1" applyFill="1" applyBorder="1" applyAlignment="1">
      <alignment horizontal="center" vertical="center"/>
    </xf>
    <xf numFmtId="165" fontId="27" fillId="3" borderId="5" xfId="0" applyNumberFormat="1" applyFont="1" applyFill="1" applyBorder="1" applyAlignment="1">
      <alignment horizontal="center" vertical="center" wrapText="1"/>
    </xf>
    <xf numFmtId="165" fontId="27" fillId="3" borderId="6" xfId="0" applyNumberFormat="1" applyFont="1" applyFill="1" applyBorder="1" applyAlignment="1">
      <alignment horizontal="center" vertical="center" wrapText="1"/>
    </xf>
    <xf numFmtId="165" fontId="27" fillId="3" borderId="7" xfId="0" applyNumberFormat="1" applyFont="1" applyFill="1" applyBorder="1" applyAlignment="1">
      <alignment horizontal="center" vertical="center" wrapText="1"/>
    </xf>
    <xf numFmtId="14" fontId="10" fillId="2" borderId="0" xfId="0" applyNumberFormat="1" applyFont="1" applyFill="1" applyAlignment="1">
      <alignment vertical="center"/>
    </xf>
    <xf numFmtId="0" fontId="34" fillId="0" borderId="0" xfId="0" applyFont="1"/>
  </cellXfs>
  <cellStyles count="1">
    <cellStyle name="Normal" xfId="0" builtinId="0"/>
  </cellStyles>
  <dxfs count="9">
    <dxf>
      <font>
        <color theme="1"/>
      </font>
      <fill>
        <patternFill patternType="solid">
          <fgColor rgb="FFFFC7CE"/>
          <bgColor rgb="FFFFC7CE"/>
        </patternFill>
      </fill>
    </dxf>
    <dxf>
      <font>
        <color theme="1"/>
      </font>
      <fill>
        <patternFill patternType="solid">
          <fgColor rgb="FFC6EFCE"/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</font>
      <numFmt numFmtId="165" formatCode="_([$$-409]* #,##0.00_);_([$$-409]* \(#,##0.00\);_([$$-409]* &quot;-&quot;??_);_(@_)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</font>
      <alignment horizontal="center" vertical="center"/>
    </dxf>
    <dxf>
      <font>
        <strike val="0"/>
        <outline val="0"/>
        <shadow val="0"/>
        <vertAlign val="baseline"/>
        <sz val="14"/>
        <color theme="1"/>
        <name val="Times New Roman"/>
      </font>
      <alignment horizontal="center" vertical="center"/>
    </dxf>
    <dxf>
      <font>
        <strike val="0"/>
        <outline val="0"/>
        <shadow val="0"/>
        <vertAlign val="baseline"/>
        <sz val="14"/>
        <color theme="1"/>
        <name val="Times New Roman"/>
      </font>
    </dxf>
    <dxf>
      <font>
        <strike val="0"/>
        <outline val="0"/>
        <shadow val="0"/>
        <vertAlign val="baseline"/>
        <sz val="14"/>
        <color theme="1"/>
        <name val="Times New Roman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4"/>
        <color theme="1"/>
        <name val="Times New Roman"/>
      </font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Times New Roman"/>
      </font>
      <fill>
        <patternFill patternType="solid">
          <fgColor indexed="64"/>
          <bgColor theme="4" tint="-0.249977111117893"/>
        </patternFill>
      </fill>
      <alignment horizontal="center" vertical="bottom"/>
    </dxf>
  </dxfs>
  <tableStyles count="0" defaultTableStyle="TableStyleMedium2" defaultPivotStyle="PivotStyleMedium9"/>
  <colors>
    <mruColors>
      <color rgb="FF9CB4E0"/>
      <color rgb="FFFFD1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Revenue, Expenses &amp; Profit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Performance'!$D$6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F5496"/>
            </a:solidFill>
            <a:ln>
              <a:prstDash val="solid"/>
            </a:ln>
          </c:spPr>
          <c:invertIfNegative val="1"/>
          <c:cat>
            <c:numRef>
              <c:f>'Monthly Performance'!$C$7:$C$18</c:f>
              <c:numCache>
                <c:formatCode>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'Monthly Performance'!$D$7:$D$18</c:f>
              <c:numCache>
                <c:formatCode>_([$$-409]* #,##0.00_);_([$$-409]* \(#,##0.00\);_([$$-409]* "-"??_);_(@_)</c:formatCode>
                <c:ptCount val="12"/>
                <c:pt idx="0">
                  <c:v>3075</c:v>
                </c:pt>
                <c:pt idx="1">
                  <c:v>3150</c:v>
                </c:pt>
                <c:pt idx="2">
                  <c:v>3750</c:v>
                </c:pt>
                <c:pt idx="3">
                  <c:v>4200</c:v>
                </c:pt>
                <c:pt idx="4">
                  <c:v>4150</c:v>
                </c:pt>
                <c:pt idx="5">
                  <c:v>7775</c:v>
                </c:pt>
                <c:pt idx="6">
                  <c:v>4125</c:v>
                </c:pt>
                <c:pt idx="7">
                  <c:v>3700</c:v>
                </c:pt>
                <c:pt idx="8">
                  <c:v>3750</c:v>
                </c:pt>
                <c:pt idx="9">
                  <c:v>4800</c:v>
                </c:pt>
                <c:pt idx="10">
                  <c:v>5800</c:v>
                </c:pt>
                <c:pt idx="11">
                  <c:v>6700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10F-41D6-97BA-AE091F87B4B5}"/>
            </c:ext>
          </c:extLst>
        </c:ser>
        <c:ser>
          <c:idx val="1"/>
          <c:order val="1"/>
          <c:tx>
            <c:strRef>
              <c:f>'Monthly Performance'!$E$6</c:f>
              <c:strCache>
                <c:ptCount val="1"/>
                <c:pt idx="0">
                  <c:v>Expense</c:v>
                </c:pt>
              </c:strCache>
            </c:strRef>
          </c:tx>
          <c:spPr>
            <a:solidFill>
              <a:srgbClr val="8FAADC"/>
            </a:solidFill>
            <a:ln>
              <a:prstDash val="solid"/>
            </a:ln>
          </c:spPr>
          <c:invertIfNegative val="1"/>
          <c:cat>
            <c:numRef>
              <c:f>'Monthly Performance'!$C$7:$C$18</c:f>
              <c:numCache>
                <c:formatCode>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'Monthly Performance'!$E$7:$E$18</c:f>
              <c:numCache>
                <c:formatCode>_([$$-409]* #,##0.00_);_([$$-409]* \(#,##0.00\);_([$$-409]* "-"??_);_(@_)</c:formatCode>
                <c:ptCount val="12"/>
                <c:pt idx="0">
                  <c:v>318.48</c:v>
                </c:pt>
                <c:pt idx="1">
                  <c:v>324.98</c:v>
                </c:pt>
                <c:pt idx="2">
                  <c:v>396.98</c:v>
                </c:pt>
                <c:pt idx="3">
                  <c:v>464.98</c:v>
                </c:pt>
                <c:pt idx="4">
                  <c:v>384.98</c:v>
                </c:pt>
                <c:pt idx="5">
                  <c:v>954.98</c:v>
                </c:pt>
                <c:pt idx="6">
                  <c:v>441.98</c:v>
                </c:pt>
                <c:pt idx="7">
                  <c:v>297.98</c:v>
                </c:pt>
                <c:pt idx="8">
                  <c:v>364.98</c:v>
                </c:pt>
                <c:pt idx="9">
                  <c:v>404.98</c:v>
                </c:pt>
                <c:pt idx="10">
                  <c:v>529.98</c:v>
                </c:pt>
                <c:pt idx="11">
                  <c:v>549.98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10F-41D6-97BA-AE091F87B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lineChart>
        <c:grouping val="standard"/>
        <c:varyColors val="1"/>
        <c:ser>
          <c:idx val="2"/>
          <c:order val="2"/>
          <c:tx>
            <c:strRef>
              <c:f>'Monthly Performance'!$F$6</c:f>
              <c:strCache>
                <c:ptCount val="1"/>
                <c:pt idx="0">
                  <c:v>Profit</c:v>
                </c:pt>
              </c:strCache>
            </c:strRef>
          </c:tx>
          <c:spPr>
            <a:ln w="28000">
              <a:solidFill>
                <a:srgbClr val="C55A11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</c:marker>
          <c:cat>
            <c:numRef>
              <c:f>'Monthly Performance'!$C$7:$C$18</c:f>
              <c:numCache>
                <c:formatCode>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'Monthly Performance'!$F$7:$F$18</c:f>
              <c:numCache>
                <c:formatCode>_([$$-409]* #,##0.00_);_([$$-409]* \(#,##0.00\);_([$$-409]* "-"??_);_(@_)</c:formatCode>
                <c:ptCount val="12"/>
                <c:pt idx="0">
                  <c:v>2756.52</c:v>
                </c:pt>
                <c:pt idx="1">
                  <c:v>2825.02</c:v>
                </c:pt>
                <c:pt idx="2">
                  <c:v>3353.02</c:v>
                </c:pt>
                <c:pt idx="3">
                  <c:v>3735.02</c:v>
                </c:pt>
                <c:pt idx="4">
                  <c:v>3765.02</c:v>
                </c:pt>
                <c:pt idx="5">
                  <c:v>6820.02</c:v>
                </c:pt>
                <c:pt idx="6">
                  <c:v>3683.02</c:v>
                </c:pt>
                <c:pt idx="7">
                  <c:v>3402.02</c:v>
                </c:pt>
                <c:pt idx="8">
                  <c:v>3385.02</c:v>
                </c:pt>
                <c:pt idx="9">
                  <c:v>4395.0200000000004</c:v>
                </c:pt>
                <c:pt idx="10">
                  <c:v>5270.02</c:v>
                </c:pt>
                <c:pt idx="11">
                  <c:v>6150.02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0F-41D6-97BA-AE091F87B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Expenses by Category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Expenses!$D$6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F5496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Expenses!$C$7:$C$14</c:f>
              <c:strCache>
                <c:ptCount val="8"/>
                <c:pt idx="0">
                  <c:v>Marketing</c:v>
                </c:pt>
                <c:pt idx="1">
                  <c:v>Supplies</c:v>
                </c:pt>
                <c:pt idx="2">
                  <c:v>Software</c:v>
                </c:pt>
                <c:pt idx="3">
                  <c:v>Utilities</c:v>
                </c:pt>
                <c:pt idx="4">
                  <c:v>Repairs</c:v>
                </c:pt>
                <c:pt idx="5">
                  <c:v>Equipment</c:v>
                </c:pt>
                <c:pt idx="6">
                  <c:v>Travel</c:v>
                </c:pt>
                <c:pt idx="7">
                  <c:v>Bank Fees</c:v>
                </c:pt>
              </c:strCache>
            </c:strRef>
          </c:cat>
          <c:val>
            <c:numRef>
              <c:f>Expenses!$D$7:$D$14</c:f>
              <c:numCache>
                <c:formatCode>_([$$-409]* #,##0.00_);_([$$-409]* \(#,##0.00\);_([$$-409]* "-"??_);_(@_)</c:formatCode>
                <c:ptCount val="8"/>
                <c:pt idx="0">
                  <c:v>2225</c:v>
                </c:pt>
                <c:pt idx="1">
                  <c:v>745.5</c:v>
                </c:pt>
                <c:pt idx="2">
                  <c:v>599.88</c:v>
                </c:pt>
                <c:pt idx="3">
                  <c:v>959.88</c:v>
                </c:pt>
                <c:pt idx="4">
                  <c:v>365</c:v>
                </c:pt>
                <c:pt idx="5">
                  <c:v>350</c:v>
                </c:pt>
                <c:pt idx="6">
                  <c:v>145</c:v>
                </c:pt>
                <c:pt idx="7">
                  <c:v>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C63-4E16-A1A8-6BB0E1345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\$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Profit Margin by Month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Performance'!$G$6</c:f>
              <c:strCache>
                <c:ptCount val="1"/>
                <c:pt idx="0">
                  <c:v>Margin</c:v>
                </c:pt>
              </c:strCache>
            </c:strRef>
          </c:tx>
          <c:spPr>
            <a:ln w="28000">
              <a:solidFill>
                <a:srgbClr val="2F5496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2F5496"/>
              </a:solidFill>
              <a:ln>
                <a:solidFill>
                  <a:srgbClr val="2F5496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2689042361324944E-2"/>
                  <c:y val="-5.35084585015108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BB-424A-8616-2569CA0C9DE1}"/>
                </c:ext>
              </c:extLst>
            </c:dLbl>
            <c:dLbl>
              <c:idx val="1"/>
              <c:layout>
                <c:manualLayout>
                  <c:x val="-3.2689042361324944E-2"/>
                  <c:y val="-5.63095789496901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4BB-424A-8616-2569CA0C9DE1}"/>
                </c:ext>
              </c:extLst>
            </c:dLbl>
            <c:dLbl>
              <c:idx val="2"/>
              <c:layout>
                <c:manualLayout>
                  <c:x val="-3.4178800275663897E-2"/>
                  <c:y val="-4.23039767087937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4BB-424A-8616-2569CA0C9DE1}"/>
                </c:ext>
              </c:extLst>
            </c:dLbl>
            <c:dLbl>
              <c:idx val="3"/>
              <c:layout>
                <c:manualLayout>
                  <c:x val="-3.5668558190002843E-2"/>
                  <c:y val="-5.63095789496901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4BB-424A-8616-2569CA0C9DE1}"/>
                </c:ext>
              </c:extLst>
            </c:dLbl>
            <c:dLbl>
              <c:idx val="4"/>
              <c:layout>
                <c:manualLayout>
                  <c:x val="-3.1199284446986025E-2"/>
                  <c:y val="-5.35084585015108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4BB-424A-8616-2569CA0C9DE1}"/>
                </c:ext>
              </c:extLst>
            </c:dLbl>
            <c:dLbl>
              <c:idx val="5"/>
              <c:layout>
                <c:manualLayout>
                  <c:x val="-2.5240252789630345E-2"/>
                  <c:y val="-6.4712940294227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4BB-424A-8616-2569CA0C9DE1}"/>
                </c:ext>
              </c:extLst>
            </c:dLbl>
            <c:dLbl>
              <c:idx val="8"/>
              <c:layout>
                <c:manualLayout>
                  <c:x val="-2.8219768618308185E-2"/>
                  <c:y val="-5.35084585015108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4BB-424A-8616-2569CA0C9DE1}"/>
                </c:ext>
              </c:extLst>
            </c:dLbl>
            <c:dLbl>
              <c:idx val="9"/>
              <c:layout>
                <c:manualLayout>
                  <c:x val="-3.2689042361325055E-2"/>
                  <c:y val="-2.26961335715388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4BB-424A-8616-2569CA0C9DE1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'Monthly Performance'!$C$7:$C$18</c:f>
              <c:numCache>
                <c:formatCode>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'Monthly Performance'!$G$7:$G$18</c:f>
              <c:numCache>
                <c:formatCode>0.0%</c:formatCode>
                <c:ptCount val="12"/>
                <c:pt idx="0">
                  <c:v>0.89642926829268288</c:v>
                </c:pt>
                <c:pt idx="1">
                  <c:v>0.89683174603174598</c:v>
                </c:pt>
                <c:pt idx="2">
                  <c:v>0.89413866666666664</c:v>
                </c:pt>
                <c:pt idx="3">
                  <c:v>0.88929047619047619</c:v>
                </c:pt>
                <c:pt idx="4">
                  <c:v>0.90723373493975901</c:v>
                </c:pt>
                <c:pt idx="5">
                  <c:v>0.87717299035369778</c:v>
                </c:pt>
                <c:pt idx="6">
                  <c:v>0.89285333333333328</c:v>
                </c:pt>
                <c:pt idx="7">
                  <c:v>0.91946486486486489</c:v>
                </c:pt>
                <c:pt idx="8">
                  <c:v>0.90267200000000003</c:v>
                </c:pt>
                <c:pt idx="9">
                  <c:v>0.91562916666666672</c:v>
                </c:pt>
                <c:pt idx="10">
                  <c:v>0.90862413793103458</c:v>
                </c:pt>
                <c:pt idx="11">
                  <c:v>0.91791343283582094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BB-424A-8616-2569CA0C9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13</xdr:row>
      <xdr:rowOff>114299</xdr:rowOff>
    </xdr:from>
    <xdr:ext cx="7067551" cy="36075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180975</xdr:colOff>
      <xdr:row>13</xdr:row>
      <xdr:rowOff>114299</xdr:rowOff>
    </xdr:from>
    <xdr:ext cx="7096125" cy="36075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609599</xdr:colOff>
      <xdr:row>5</xdr:row>
      <xdr:rowOff>0</xdr:rowOff>
    </xdr:from>
    <xdr:ext cx="8524875" cy="4533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penseSummary" displayName="ExpenseSummary" ref="C6:E14">
  <autoFilter ref="C6:E14" xr:uid="{00000000-0009-0000-0100-000002000000}"/>
  <tableColumns count="3">
    <tableColumn id="3" xr3:uid="{00000000-0010-0000-0100-000003000000}" name="CATEGORY"/>
    <tableColumn id="4" xr3:uid="{00000000-0010-0000-0100-000004000000}" name="TOTAL"/>
    <tableColumn id="5" xr3:uid="{00000000-0010-0000-0100-000005000000}" name="% OF EXPENS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s" displayName="Transactions" ref="C6:G109" totalsRowShown="0" headerRowDxfId="8" dataDxfId="7">
  <autoFilter ref="C6:G109" xr:uid="{00000000-0009-0000-0100-000001000000}"/>
  <tableColumns count="5">
    <tableColumn id="1" xr3:uid="{00000000-0010-0000-0000-000001000000}" name="DATE" dataDxfId="6"/>
    <tableColumn id="2" xr3:uid="{00000000-0010-0000-0000-000002000000}" name="DESCRIPTION" dataDxfId="5"/>
    <tableColumn id="3" xr3:uid="{00000000-0010-0000-0000-000003000000}" name="TYPE" dataDxfId="4"/>
    <tableColumn id="4" xr3:uid="{00000000-0010-0000-0000-000004000000}" name="CATEGORY" dataDxfId="3"/>
    <tableColumn id="5" xr3:uid="{00000000-0010-0000-0000-000005000000}" name="AMOU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"/>
  <sheetViews>
    <sheetView showGridLines="0" tabSelected="1" zoomScaleNormal="100" workbookViewId="0">
      <selection activeCell="AA17" sqref="AA17"/>
    </sheetView>
  </sheetViews>
  <sheetFormatPr defaultRowHeight="15" x14ac:dyDescent="0.25"/>
  <cols>
    <col min="1" max="1" width="3.28515625" style="2" customWidth="1"/>
    <col min="2" max="4" width="9.140625" style="2" customWidth="1"/>
    <col min="5" max="7" width="10.7109375" style="2" customWidth="1"/>
    <col min="8" max="10" width="9.140625" style="2" customWidth="1"/>
    <col min="11" max="13" width="10.7109375" style="2" customWidth="1"/>
    <col min="14" max="16" width="9.140625" style="2" customWidth="1"/>
    <col min="17" max="19" width="10.7109375" style="2" customWidth="1"/>
    <col min="20" max="22" width="9.140625" style="2" customWidth="1"/>
    <col min="23" max="25" width="10.7109375" style="2" customWidth="1"/>
    <col min="26" max="27" width="9.140625" style="2" customWidth="1"/>
    <col min="28" max="28" width="16.5703125" style="2" customWidth="1"/>
    <col min="29" max="29" width="9.140625" style="2" customWidth="1"/>
    <col min="30" max="16384" width="9.140625" style="2"/>
  </cols>
  <sheetData>
    <row r="1" spans="1:28" ht="8.25" customHeight="1" x14ac:dyDescent="0.25">
      <c r="A1" s="5"/>
      <c r="B1" s="5"/>
      <c r="C1" s="5"/>
      <c r="D1" s="5"/>
      <c r="E1" s="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 x14ac:dyDescent="0.25">
      <c r="A2" s="5"/>
      <c r="B2" s="82" t="s">
        <v>0</v>
      </c>
      <c r="C2" s="82"/>
      <c r="D2" s="82"/>
      <c r="E2" s="8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79" t="s">
        <v>1</v>
      </c>
      <c r="Y2" s="77"/>
      <c r="Z2" s="77"/>
      <c r="AA2" s="77"/>
      <c r="AB2" s="77"/>
    </row>
    <row r="3" spans="1:28" ht="18" customHeight="1" x14ac:dyDescent="0.25">
      <c r="A3" s="5"/>
      <c r="B3" s="82"/>
      <c r="C3" s="82"/>
      <c r="D3" s="82"/>
      <c r="E3" s="8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81" t="str">
        <f>"Period: "&amp;TEXT(MIN(Transactions[DATE]),"mmm yyyy")&amp;" to "&amp;TEXT(MAX(Transactions[DATE]),"mmm yyyy")</f>
        <v>Period: Jan 2026 to Dec 2026</v>
      </c>
      <c r="Y3" s="77"/>
      <c r="Z3" s="77"/>
      <c r="AA3" s="77"/>
      <c r="AB3" s="5"/>
    </row>
    <row r="4" spans="1:28" ht="17.25" customHeight="1" x14ac:dyDescent="0.25">
      <c r="A4" s="5"/>
      <c r="B4" s="6" t="s">
        <v>2</v>
      </c>
      <c r="C4" s="5"/>
      <c r="D4" s="5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6" spans="1:28" ht="24.75" customHeight="1" x14ac:dyDescent="0.25">
      <c r="D6" s="76" t="s">
        <v>3</v>
      </c>
      <c r="E6" s="77"/>
      <c r="F6" s="21"/>
      <c r="G6" s="21"/>
      <c r="H6" s="21"/>
      <c r="I6" s="22"/>
      <c r="J6" s="76" t="s">
        <v>4</v>
      </c>
      <c r="K6" s="77"/>
      <c r="L6" s="21"/>
      <c r="M6" s="21"/>
      <c r="N6" s="21"/>
      <c r="O6" s="22"/>
      <c r="P6" s="78" t="s">
        <v>5</v>
      </c>
      <c r="Q6" s="77"/>
      <c r="R6" s="21"/>
      <c r="S6" s="21"/>
      <c r="T6" s="21"/>
      <c r="U6" s="22"/>
      <c r="V6" s="76" t="s">
        <v>6</v>
      </c>
      <c r="W6" s="77"/>
      <c r="X6" s="21"/>
      <c r="Y6" s="21"/>
      <c r="Z6" s="19"/>
    </row>
    <row r="7" spans="1:28" x14ac:dyDescent="0.25">
      <c r="D7" s="23"/>
      <c r="E7" s="23"/>
      <c r="F7" s="21"/>
      <c r="G7" s="21"/>
      <c r="H7" s="21"/>
      <c r="I7" s="22"/>
      <c r="J7" s="23"/>
      <c r="K7" s="23"/>
      <c r="L7" s="21"/>
      <c r="M7" s="21"/>
      <c r="N7" s="21"/>
      <c r="O7" s="22"/>
      <c r="P7" s="23"/>
      <c r="Q7" s="23"/>
      <c r="R7" s="21"/>
      <c r="S7" s="21"/>
      <c r="T7" s="21"/>
      <c r="U7" s="22"/>
      <c r="V7" s="23"/>
      <c r="W7" s="23"/>
      <c r="X7" s="21"/>
      <c r="Y7" s="21"/>
      <c r="Z7" s="19"/>
    </row>
    <row r="8" spans="1:28" s="43" customFormat="1" ht="20.25" customHeight="1" x14ac:dyDescent="0.55000000000000004">
      <c r="D8" s="44"/>
      <c r="E8" s="80">
        <f>SUMIFS(Transactions[AMOUNT],Transactions[TYPE],"Revenue")</f>
        <v>54975</v>
      </c>
      <c r="F8" s="75"/>
      <c r="G8" s="75"/>
      <c r="H8" s="60"/>
      <c r="I8" s="61"/>
      <c r="J8" s="60"/>
      <c r="K8" s="80">
        <f>SUMIFS(Transactions[AMOUNT],Transactions[TYPE],"Expense")</f>
        <v>5435.2599999999966</v>
      </c>
      <c r="L8" s="75"/>
      <c r="M8" s="75"/>
      <c r="N8" s="60"/>
      <c r="O8" s="61"/>
      <c r="P8" s="60"/>
      <c r="Q8" s="80">
        <f>E8-K8</f>
        <v>49539.740000000005</v>
      </c>
      <c r="R8" s="75"/>
      <c r="S8" s="75"/>
      <c r="T8" s="60"/>
      <c r="U8" s="61"/>
      <c r="V8" s="60"/>
      <c r="W8" s="74">
        <f>IFERROR(Q8/E8,0)</f>
        <v>0.90113215097771726</v>
      </c>
      <c r="X8" s="75"/>
      <c r="Y8" s="75"/>
      <c r="Z8" s="45"/>
    </row>
    <row r="9" spans="1:28" s="43" customFormat="1" ht="34.5" customHeight="1" x14ac:dyDescent="0.55000000000000004">
      <c r="D9" s="44"/>
      <c r="E9" s="75"/>
      <c r="F9" s="75"/>
      <c r="G9" s="75"/>
      <c r="H9" s="60"/>
      <c r="I9" s="61"/>
      <c r="J9" s="60"/>
      <c r="K9" s="75"/>
      <c r="L9" s="75"/>
      <c r="M9" s="75"/>
      <c r="N9" s="60"/>
      <c r="O9" s="61"/>
      <c r="P9" s="60"/>
      <c r="Q9" s="75"/>
      <c r="R9" s="75"/>
      <c r="S9" s="75"/>
      <c r="T9" s="60"/>
      <c r="U9" s="61"/>
      <c r="V9" s="60"/>
      <c r="W9" s="75"/>
      <c r="X9" s="75"/>
      <c r="Y9" s="75"/>
      <c r="Z9" s="45"/>
    </row>
    <row r="10" spans="1:28" x14ac:dyDescent="0.25">
      <c r="D10" s="21"/>
      <c r="E10" s="21"/>
      <c r="F10" s="21"/>
      <c r="G10" s="21"/>
      <c r="H10" s="21"/>
      <c r="I10" s="22"/>
      <c r="J10" s="21"/>
      <c r="K10" s="21"/>
      <c r="L10" s="21"/>
      <c r="M10" s="21"/>
      <c r="N10" s="21"/>
      <c r="O10" s="22"/>
      <c r="P10" s="21"/>
      <c r="Q10" s="21"/>
      <c r="R10" s="21"/>
      <c r="S10" s="21"/>
      <c r="T10" s="21"/>
      <c r="U10" s="22"/>
      <c r="V10" s="21"/>
      <c r="W10" s="21"/>
      <c r="X10" s="21"/>
      <c r="Y10" s="21"/>
      <c r="Z10" s="19"/>
    </row>
    <row r="11" spans="1:28" x14ac:dyDescent="0.25">
      <c r="D11" s="21"/>
      <c r="E11" s="21"/>
      <c r="F11" s="21"/>
      <c r="G11" s="21"/>
      <c r="H11" s="21"/>
      <c r="I11" s="22"/>
      <c r="J11" s="21"/>
      <c r="K11" s="21"/>
      <c r="L11" s="21"/>
      <c r="M11" s="21"/>
      <c r="N11" s="21"/>
      <c r="O11" s="22"/>
      <c r="P11" s="21"/>
      <c r="Q11" s="21"/>
      <c r="R11" s="21"/>
      <c r="S11" s="21"/>
      <c r="T11" s="21"/>
      <c r="U11" s="22"/>
      <c r="V11" s="21"/>
      <c r="W11" s="21"/>
      <c r="X11" s="21"/>
      <c r="Y11" s="21"/>
      <c r="Z11" s="19"/>
    </row>
  </sheetData>
  <mergeCells count="11">
    <mergeCell ref="W8:Y9"/>
    <mergeCell ref="D6:E6"/>
    <mergeCell ref="P6:Q6"/>
    <mergeCell ref="X2:AB2"/>
    <mergeCell ref="V6:W6"/>
    <mergeCell ref="E8:G9"/>
    <mergeCell ref="X3:AA3"/>
    <mergeCell ref="K8:M9"/>
    <mergeCell ref="J6:K6"/>
    <mergeCell ref="Q8:S9"/>
    <mergeCell ref="B2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5"/>
  <sheetViews>
    <sheetView showGridLines="0" workbookViewId="0">
      <selection activeCell="L17" sqref="L17"/>
    </sheetView>
  </sheetViews>
  <sheetFormatPr defaultRowHeight="15" x14ac:dyDescent="0.25"/>
  <cols>
    <col min="1" max="1" width="3.28515625" customWidth="1"/>
    <col min="2" max="2" width="10.28515625" customWidth="1"/>
    <col min="3" max="3" width="9.140625" customWidth="1"/>
    <col min="4" max="4" width="9.140625" style="13" customWidth="1"/>
    <col min="5" max="6" width="9.140625" customWidth="1"/>
    <col min="7" max="7" width="10.7109375" customWidth="1"/>
    <col min="8" max="10" width="9.140625" customWidth="1"/>
    <col min="11" max="11" width="12.7109375" customWidth="1"/>
    <col min="12" max="12" width="9.42578125" customWidth="1"/>
    <col min="14" max="14" width="10.42578125" customWidth="1"/>
    <col min="17" max="17" width="11.42578125" customWidth="1"/>
    <col min="19" max="19" width="11.28515625" customWidth="1"/>
    <col min="29" max="29" width="15.5703125" customWidth="1"/>
  </cols>
  <sheetData>
    <row r="1" spans="1:30" ht="8.25" customHeight="1" x14ac:dyDescent="0.25">
      <c r="A1" s="5"/>
      <c r="B1" s="5"/>
      <c r="C1" s="5"/>
      <c r="D1" s="10"/>
      <c r="E1" s="5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30" ht="15" customHeight="1" x14ac:dyDescent="0.25">
      <c r="A2" s="5"/>
      <c r="B2" s="71" t="s">
        <v>0</v>
      </c>
      <c r="C2" s="83"/>
      <c r="D2" s="91"/>
      <c r="E2" s="83"/>
      <c r="F2" s="3"/>
      <c r="G2" s="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69"/>
      <c r="Z2" s="83"/>
      <c r="AA2" s="83"/>
      <c r="AB2" s="83"/>
      <c r="AC2" s="83"/>
    </row>
    <row r="3" spans="1:30" ht="18" customHeight="1" x14ac:dyDescent="0.25">
      <c r="A3" s="5"/>
      <c r="B3" s="83"/>
      <c r="C3" s="83"/>
      <c r="D3" s="91"/>
      <c r="E3" s="83"/>
      <c r="F3" s="3"/>
      <c r="G3" s="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73"/>
      <c r="Z3" s="83"/>
      <c r="AA3" s="83"/>
      <c r="AB3" s="83"/>
      <c r="AC3" s="3"/>
    </row>
    <row r="4" spans="1:30" ht="17.25" customHeight="1" x14ac:dyDescent="0.25">
      <c r="A4" s="5"/>
      <c r="B4" s="6" t="s">
        <v>2</v>
      </c>
      <c r="C4" s="5"/>
      <c r="D4" s="10"/>
      <c r="E4" s="5"/>
      <c r="F4" s="3"/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30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4.75" customHeight="1" x14ac:dyDescent="0.25">
      <c r="A6" s="2"/>
      <c r="B6" s="15"/>
      <c r="C6" s="16"/>
      <c r="D6" s="76" t="s">
        <v>3</v>
      </c>
      <c r="E6" s="83"/>
      <c r="F6" s="21"/>
      <c r="G6" s="21"/>
      <c r="H6" s="21"/>
      <c r="I6" s="22"/>
      <c r="J6" s="76" t="s">
        <v>4</v>
      </c>
      <c r="K6" s="83"/>
      <c r="L6" s="21"/>
      <c r="M6" s="21"/>
      <c r="N6" s="21"/>
      <c r="O6" s="22"/>
      <c r="P6" s="78" t="s">
        <v>5</v>
      </c>
      <c r="Q6" s="83"/>
      <c r="R6" s="21"/>
      <c r="S6" s="21"/>
      <c r="T6" s="21"/>
      <c r="U6" s="22"/>
      <c r="V6" s="76" t="s">
        <v>6</v>
      </c>
      <c r="W6" s="83"/>
      <c r="X6" s="21"/>
      <c r="Y6" s="21"/>
      <c r="Z6" s="19"/>
      <c r="AA6" s="20"/>
      <c r="AB6" s="20"/>
      <c r="AC6" s="2"/>
      <c r="AD6" s="2"/>
    </row>
    <row r="7" spans="1:30" x14ac:dyDescent="0.25">
      <c r="A7" s="2"/>
      <c r="B7" s="15"/>
      <c r="C7" s="16"/>
      <c r="D7" s="23"/>
      <c r="E7" s="23"/>
      <c r="F7" s="21"/>
      <c r="G7" s="21"/>
      <c r="H7" s="21"/>
      <c r="I7" s="22"/>
      <c r="J7" s="23"/>
      <c r="K7" s="23"/>
      <c r="L7" s="21"/>
      <c r="M7" s="21"/>
      <c r="N7" s="21"/>
      <c r="O7" s="22"/>
      <c r="P7" s="23"/>
      <c r="Q7" s="23"/>
      <c r="R7" s="21"/>
      <c r="S7" s="21"/>
      <c r="T7" s="21"/>
      <c r="U7" s="22"/>
      <c r="V7" s="23"/>
      <c r="W7" s="23"/>
      <c r="X7" s="21"/>
      <c r="Y7" s="21"/>
      <c r="Z7" s="19"/>
      <c r="AA7" s="20"/>
      <c r="AB7" s="20"/>
      <c r="AC7" s="2"/>
      <c r="AD7" s="2"/>
    </row>
    <row r="8" spans="1:30" ht="23.25" customHeight="1" x14ac:dyDescent="0.55000000000000004">
      <c r="A8" s="2"/>
      <c r="B8" s="15"/>
      <c r="C8" s="16"/>
      <c r="D8" s="21"/>
      <c r="E8" s="84">
        <f>SUMIFS(Transactions[AMOUNT],Transactions[TYPE],"Revenue")</f>
        <v>54975</v>
      </c>
      <c r="F8" s="83"/>
      <c r="G8" s="83"/>
      <c r="H8" s="26"/>
      <c r="I8" s="27"/>
      <c r="J8" s="26"/>
      <c r="K8" s="84">
        <f>SUMIFS(Transactions[AMOUNT],Transactions[TYPE],"Expense")</f>
        <v>5435.2599999999966</v>
      </c>
      <c r="L8" s="83"/>
      <c r="M8" s="83"/>
      <c r="N8" s="26"/>
      <c r="O8" s="27"/>
      <c r="P8" s="26"/>
      <c r="Q8" s="84">
        <f>E8-K8</f>
        <v>49539.740000000005</v>
      </c>
      <c r="R8" s="83"/>
      <c r="S8" s="83"/>
      <c r="T8" s="26"/>
      <c r="U8" s="27"/>
      <c r="V8" s="26"/>
      <c r="W8" s="86">
        <f>IFERROR(Q8/E8,0)</f>
        <v>0.90113215097771726</v>
      </c>
      <c r="X8" s="83"/>
      <c r="Y8" s="83"/>
      <c r="Z8" s="19"/>
      <c r="AA8" s="20"/>
      <c r="AB8" s="20"/>
      <c r="AC8" s="2"/>
      <c r="AD8" s="2"/>
    </row>
    <row r="9" spans="1:30" ht="36" customHeight="1" x14ac:dyDescent="0.55000000000000004">
      <c r="A9" s="2"/>
      <c r="B9" s="15"/>
      <c r="C9" s="16"/>
      <c r="D9" s="21"/>
      <c r="E9" s="83"/>
      <c r="F9" s="83"/>
      <c r="G9" s="83"/>
      <c r="H9" s="26"/>
      <c r="I9" s="27"/>
      <c r="J9" s="26"/>
      <c r="K9" s="83"/>
      <c r="L9" s="83"/>
      <c r="M9" s="83"/>
      <c r="N9" s="26"/>
      <c r="O9" s="27"/>
      <c r="P9" s="26"/>
      <c r="Q9" s="83"/>
      <c r="R9" s="83"/>
      <c r="S9" s="83"/>
      <c r="T9" s="26"/>
      <c r="U9" s="27"/>
      <c r="V9" s="26"/>
      <c r="W9" s="83"/>
      <c r="X9" s="83"/>
      <c r="Y9" s="83"/>
      <c r="Z9" s="19"/>
      <c r="AA9" s="20"/>
      <c r="AB9" s="20"/>
      <c r="AC9" s="2"/>
      <c r="AD9" s="2"/>
    </row>
    <row r="10" spans="1:30" x14ac:dyDescent="0.25">
      <c r="A10" s="2"/>
      <c r="B10" s="15"/>
      <c r="C10" s="16"/>
      <c r="D10" s="21"/>
      <c r="E10" s="21"/>
      <c r="F10" s="21"/>
      <c r="G10" s="21"/>
      <c r="H10" s="21"/>
      <c r="I10" s="22"/>
      <c r="J10" s="21"/>
      <c r="K10" s="21"/>
      <c r="L10" s="21"/>
      <c r="M10" s="21"/>
      <c r="N10" s="21"/>
      <c r="O10" s="22"/>
      <c r="P10" s="21"/>
      <c r="Q10" s="21"/>
      <c r="R10" s="21"/>
      <c r="S10" s="21"/>
      <c r="T10" s="21"/>
      <c r="U10" s="22"/>
      <c r="V10" s="21"/>
      <c r="W10" s="21"/>
      <c r="X10" s="21"/>
      <c r="Y10" s="21"/>
      <c r="Z10" s="19"/>
      <c r="AA10" s="20"/>
      <c r="AB10" s="20"/>
      <c r="AC10" s="2"/>
      <c r="AD10" s="2"/>
    </row>
    <row r="11" spans="1:30" x14ac:dyDescent="0.25">
      <c r="A11" s="2"/>
      <c r="B11" s="15"/>
      <c r="C11" s="16"/>
      <c r="D11" s="21"/>
      <c r="E11" s="21"/>
      <c r="F11" s="21"/>
      <c r="G11" s="21"/>
      <c r="H11" s="21"/>
      <c r="I11" s="22"/>
      <c r="J11" s="21"/>
      <c r="K11" s="21"/>
      <c r="L11" s="21"/>
      <c r="M11" s="21"/>
      <c r="N11" s="21"/>
      <c r="O11" s="22"/>
      <c r="P11" s="21"/>
      <c r="Q11" s="21"/>
      <c r="R11" s="21"/>
      <c r="S11" s="21"/>
      <c r="T11" s="21"/>
      <c r="U11" s="22"/>
      <c r="V11" s="21"/>
      <c r="W11" s="21"/>
      <c r="X11" s="21"/>
      <c r="Y11" s="21"/>
      <c r="Z11" s="19"/>
      <c r="AA11" s="20"/>
      <c r="AB11" s="20"/>
      <c r="AC11" s="2"/>
      <c r="AD11" s="2"/>
    </row>
    <row r="12" spans="1:30" x14ac:dyDescent="0.25">
      <c r="A12" s="2"/>
      <c r="B12" s="15"/>
      <c r="C12" s="15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0"/>
      <c r="AA12" s="20"/>
      <c r="AB12" s="20"/>
      <c r="AC12" s="2"/>
      <c r="AD12" s="2"/>
    </row>
    <row r="13" spans="1:30" x14ac:dyDescent="0.25">
      <c r="A13" s="2"/>
      <c r="B13" s="15"/>
      <c r="C13" s="15"/>
      <c r="D13" s="22"/>
      <c r="E13" s="22"/>
      <c r="F13" s="22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2"/>
      <c r="Y13" s="22"/>
      <c r="Z13" s="20"/>
      <c r="AA13" s="20"/>
      <c r="AB13" s="20"/>
      <c r="AC13" s="2"/>
      <c r="AD13" s="2"/>
    </row>
    <row r="14" spans="1:30" ht="22.5" customHeight="1" x14ac:dyDescent="0.25">
      <c r="A14" s="2"/>
      <c r="B14" s="15"/>
      <c r="C14" s="16"/>
      <c r="D14" s="22"/>
      <c r="E14" s="22"/>
      <c r="F14" s="22"/>
      <c r="G14" s="85" t="s">
        <v>7</v>
      </c>
      <c r="H14" s="83"/>
      <c r="I14" s="25"/>
      <c r="J14" s="25"/>
      <c r="K14" s="25"/>
      <c r="L14" s="22"/>
      <c r="M14" s="85" t="s">
        <v>8</v>
      </c>
      <c r="N14" s="85"/>
      <c r="O14" s="25"/>
      <c r="P14" s="25"/>
      <c r="Q14" s="25"/>
      <c r="R14" s="22"/>
      <c r="S14" s="85" t="s">
        <v>9</v>
      </c>
      <c r="T14" s="83"/>
      <c r="U14" s="25"/>
      <c r="V14" s="25"/>
      <c r="W14" s="25"/>
      <c r="X14" s="22"/>
      <c r="Y14" s="22"/>
      <c r="Z14" s="20"/>
      <c r="AA14" s="20"/>
      <c r="AB14" s="20"/>
      <c r="AC14" s="2"/>
      <c r="AD14" s="2"/>
    </row>
    <row r="15" spans="1:30" x14ac:dyDescent="0.25">
      <c r="A15" s="2"/>
      <c r="B15" s="15"/>
      <c r="C15" s="15"/>
      <c r="D15" s="22"/>
      <c r="E15" s="22"/>
      <c r="F15" s="22"/>
      <c r="G15" s="25"/>
      <c r="H15" s="25"/>
      <c r="I15" s="25"/>
      <c r="J15" s="25"/>
      <c r="K15" s="25"/>
      <c r="L15" s="22"/>
      <c r="M15" s="25"/>
      <c r="N15" s="25"/>
      <c r="O15" s="25"/>
      <c r="P15" s="25"/>
      <c r="Q15" s="25"/>
      <c r="R15" s="22"/>
      <c r="S15" s="25"/>
      <c r="T15" s="25"/>
      <c r="U15" s="25"/>
      <c r="V15" s="25"/>
      <c r="W15" s="25"/>
      <c r="X15" s="22"/>
      <c r="Y15" s="22"/>
      <c r="Z15" s="20"/>
      <c r="AA15" s="20"/>
      <c r="AB15" s="20"/>
      <c r="AC15" s="2"/>
      <c r="AD15" s="2"/>
    </row>
    <row r="16" spans="1:30" ht="23.25" customHeight="1" x14ac:dyDescent="0.7">
      <c r="A16" s="2"/>
      <c r="B16" s="15"/>
      <c r="C16" s="15"/>
      <c r="D16" s="22"/>
      <c r="E16" s="22"/>
      <c r="F16" s="22"/>
      <c r="G16" s="25"/>
      <c r="H16" s="87">
        <f>COUNT(Transactions[AMOUNT])</f>
        <v>103</v>
      </c>
      <c r="I16" s="88"/>
      <c r="J16" s="88"/>
      <c r="K16" s="28"/>
      <c r="L16" s="29"/>
      <c r="M16" s="28"/>
      <c r="N16" s="87">
        <f>COUNTIFS(Transactions[TYPE],"Revenue")</f>
        <v>46</v>
      </c>
      <c r="O16" s="88"/>
      <c r="P16" s="88"/>
      <c r="Q16" s="28"/>
      <c r="R16" s="29"/>
      <c r="S16" s="28"/>
      <c r="T16" s="87">
        <f>COUNTIFS(Transactions[TYPE],"Expense")</f>
        <v>57</v>
      </c>
      <c r="U16" s="88"/>
      <c r="V16" s="88"/>
      <c r="W16" s="25"/>
      <c r="X16" s="22"/>
      <c r="Y16" s="22"/>
      <c r="Z16" s="20"/>
      <c r="AA16" s="20"/>
      <c r="AB16" s="20"/>
      <c r="AC16" s="2"/>
      <c r="AD16" s="2"/>
    </row>
    <row r="17" spans="1:30" ht="20.25" customHeight="1" x14ac:dyDescent="0.7">
      <c r="A17" s="2"/>
      <c r="B17" s="15"/>
      <c r="C17" s="15"/>
      <c r="D17" s="22"/>
      <c r="E17" s="22"/>
      <c r="F17" s="22"/>
      <c r="G17" s="25"/>
      <c r="H17" s="88"/>
      <c r="I17" s="88"/>
      <c r="J17" s="88"/>
      <c r="K17" s="28"/>
      <c r="L17" s="29"/>
      <c r="M17" s="28"/>
      <c r="N17" s="88"/>
      <c r="O17" s="88"/>
      <c r="P17" s="88"/>
      <c r="Q17" s="28"/>
      <c r="R17" s="29"/>
      <c r="S17" s="28"/>
      <c r="T17" s="88"/>
      <c r="U17" s="88"/>
      <c r="V17" s="88"/>
      <c r="W17" s="25"/>
      <c r="X17" s="22"/>
      <c r="Y17" s="22"/>
      <c r="Z17" s="20"/>
      <c r="AA17" s="20"/>
      <c r="AB17" s="20"/>
      <c r="AC17" s="2"/>
      <c r="AD17" s="2"/>
    </row>
    <row r="18" spans="1:30" x14ac:dyDescent="0.25">
      <c r="A18" s="2"/>
      <c r="B18" s="15"/>
      <c r="C18" s="15"/>
      <c r="D18" s="22"/>
      <c r="E18" s="22"/>
      <c r="F18" s="22"/>
      <c r="G18" s="25"/>
      <c r="H18" s="25"/>
      <c r="I18" s="25"/>
      <c r="J18" s="25"/>
      <c r="K18" s="25"/>
      <c r="L18" s="22"/>
      <c r="M18" s="25"/>
      <c r="N18" s="25"/>
      <c r="O18" s="25"/>
      <c r="P18" s="25"/>
      <c r="Q18" s="25"/>
      <c r="R18" s="22"/>
      <c r="S18" s="25"/>
      <c r="T18" s="25"/>
      <c r="U18" s="25"/>
      <c r="V18" s="25"/>
      <c r="W18" s="25"/>
      <c r="X18" s="22"/>
      <c r="Y18" s="22"/>
      <c r="Z18" s="20"/>
      <c r="AA18" s="20"/>
      <c r="AB18" s="20"/>
      <c r="AC18" s="2"/>
      <c r="AD18" s="2"/>
    </row>
    <row r="19" spans="1:30" x14ac:dyDescent="0.25">
      <c r="A19" s="2"/>
      <c r="B19" s="15"/>
      <c r="C19" s="15"/>
      <c r="D19" s="22"/>
      <c r="E19" s="22"/>
      <c r="F19" s="22"/>
      <c r="G19" s="25"/>
      <c r="H19" s="25"/>
      <c r="I19" s="25"/>
      <c r="J19" s="25"/>
      <c r="K19" s="25"/>
      <c r="L19" s="22"/>
      <c r="M19" s="25"/>
      <c r="N19" s="25"/>
      <c r="O19" s="25"/>
      <c r="P19" s="25"/>
      <c r="Q19" s="25"/>
      <c r="R19" s="22"/>
      <c r="S19" s="25"/>
      <c r="T19" s="25"/>
      <c r="U19" s="25"/>
      <c r="V19" s="25"/>
      <c r="W19" s="25"/>
      <c r="X19" s="22"/>
      <c r="Y19" s="22"/>
      <c r="Z19" s="20"/>
      <c r="AA19" s="20"/>
      <c r="AB19" s="20"/>
      <c r="AC19" s="2"/>
      <c r="AD19" s="2"/>
    </row>
    <row r="20" spans="1:30" x14ac:dyDescent="0.25">
      <c r="A20" s="2"/>
      <c r="B20" s="15"/>
      <c r="C20" s="15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0"/>
      <c r="AA20" s="20"/>
      <c r="AB20" s="20"/>
      <c r="AC20" s="2"/>
      <c r="AD20" s="2"/>
    </row>
    <row r="21" spans="1:30" x14ac:dyDescent="0.25">
      <c r="A21" s="2"/>
      <c r="B21" s="15"/>
      <c r="C21" s="15"/>
      <c r="D21" s="22"/>
      <c r="E21" s="22"/>
      <c r="F21" s="22"/>
      <c r="G21" s="22"/>
      <c r="H21" s="22"/>
      <c r="I21" s="22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2"/>
      <c r="V21" s="22"/>
      <c r="W21" s="22"/>
      <c r="X21" s="22"/>
      <c r="Y21" s="22"/>
      <c r="Z21" s="20"/>
      <c r="AA21" s="20"/>
      <c r="AB21" s="20"/>
      <c r="AC21" s="2"/>
      <c r="AD21" s="2"/>
    </row>
    <row r="22" spans="1:30" ht="20.25" customHeight="1" x14ac:dyDescent="0.25">
      <c r="A22" s="2"/>
      <c r="B22" s="15"/>
      <c r="C22" s="15"/>
      <c r="D22" s="22"/>
      <c r="E22" s="22"/>
      <c r="F22" s="22"/>
      <c r="G22" s="22"/>
      <c r="H22" s="22"/>
      <c r="I22" s="22"/>
      <c r="J22" s="85" t="s">
        <v>10</v>
      </c>
      <c r="K22" s="83"/>
      <c r="L22" s="25"/>
      <c r="M22" s="25"/>
      <c r="N22" s="22"/>
      <c r="O22" s="22"/>
      <c r="P22" s="22"/>
      <c r="Q22" s="85" t="s">
        <v>11</v>
      </c>
      <c r="R22" s="83"/>
      <c r="S22" s="25"/>
      <c r="T22" s="25"/>
      <c r="U22" s="22"/>
      <c r="V22" s="22"/>
      <c r="W22" s="22"/>
      <c r="X22" s="22"/>
      <c r="Y22" s="22"/>
      <c r="Z22" s="20"/>
      <c r="AA22" s="20"/>
      <c r="AB22" s="20"/>
      <c r="AC22" s="2"/>
      <c r="AD22" s="2"/>
    </row>
    <row r="23" spans="1:30" ht="26.25" customHeight="1" x14ac:dyDescent="0.4">
      <c r="A23" s="2"/>
      <c r="B23" s="15"/>
      <c r="C23" s="15"/>
      <c r="D23" s="22"/>
      <c r="E23" s="22"/>
      <c r="F23" s="22"/>
      <c r="G23" s="22"/>
      <c r="H23" s="22"/>
      <c r="I23" s="22"/>
      <c r="J23" s="25"/>
      <c r="K23" s="89">
        <f>IFERROR(AVERAGEIFS(Transactions[AMOUNT],Transactions[TYPE],"Revenue"),0)</f>
        <v>1195.108695652174</v>
      </c>
      <c r="L23" s="90"/>
      <c r="M23" s="30"/>
      <c r="N23" s="31"/>
      <c r="O23" s="31"/>
      <c r="P23" s="31"/>
      <c r="Q23" s="30"/>
      <c r="R23" s="89">
        <f>IFERROR(AVERAGEIFS(Transactions[AMOUNT],Transactions[TYPE],"Expense"),0)</f>
        <v>95.355438596491169</v>
      </c>
      <c r="S23" s="90"/>
      <c r="T23" s="25"/>
      <c r="U23" s="22"/>
      <c r="V23" s="22"/>
      <c r="W23" s="22"/>
      <c r="X23" s="22"/>
      <c r="Y23" s="22"/>
      <c r="Z23" s="20"/>
      <c r="AA23" s="20"/>
      <c r="AB23" s="20"/>
      <c r="AC23" s="2"/>
      <c r="AD23" s="2"/>
    </row>
    <row r="24" spans="1:30" ht="23.25" customHeight="1" x14ac:dyDescent="0.4">
      <c r="A24" s="2"/>
      <c r="B24" s="15"/>
      <c r="C24" s="15"/>
      <c r="D24" s="22"/>
      <c r="E24" s="22"/>
      <c r="F24" s="22"/>
      <c r="G24" s="22"/>
      <c r="H24" s="22"/>
      <c r="I24" s="22"/>
      <c r="J24" s="25"/>
      <c r="K24" s="90"/>
      <c r="L24" s="90"/>
      <c r="M24" s="30"/>
      <c r="N24" s="31"/>
      <c r="O24" s="31"/>
      <c r="P24" s="31"/>
      <c r="Q24" s="30"/>
      <c r="R24" s="90"/>
      <c r="S24" s="90"/>
      <c r="T24" s="25"/>
      <c r="U24" s="22"/>
      <c r="V24" s="22"/>
      <c r="W24" s="22"/>
      <c r="X24" s="22"/>
      <c r="Y24" s="22"/>
      <c r="Z24" s="20"/>
      <c r="AA24" s="20"/>
      <c r="AB24" s="20"/>
      <c r="AC24" s="2"/>
      <c r="AD24" s="2"/>
    </row>
    <row r="25" spans="1:30" ht="10.5" customHeight="1" x14ac:dyDescent="0.4">
      <c r="A25" s="2"/>
      <c r="B25" s="15"/>
      <c r="C25" s="15"/>
      <c r="D25" s="22"/>
      <c r="E25" s="22"/>
      <c r="F25" s="22"/>
      <c r="G25" s="22"/>
      <c r="H25" s="22"/>
      <c r="I25" s="22"/>
      <c r="J25" s="25"/>
      <c r="K25" s="90"/>
      <c r="L25" s="90"/>
      <c r="M25" s="30"/>
      <c r="N25" s="31"/>
      <c r="O25" s="31"/>
      <c r="P25" s="31"/>
      <c r="Q25" s="30"/>
      <c r="R25" s="90"/>
      <c r="S25" s="90"/>
      <c r="T25" s="25"/>
      <c r="U25" s="22"/>
      <c r="V25" s="22"/>
      <c r="W25" s="22"/>
      <c r="X25" s="22"/>
      <c r="Y25" s="22"/>
      <c r="Z25" s="20"/>
      <c r="AA25" s="20"/>
      <c r="AB25" s="20"/>
      <c r="AC25" s="2"/>
      <c r="AD25" s="2"/>
    </row>
    <row r="26" spans="1:30" x14ac:dyDescent="0.25">
      <c r="A26" s="2"/>
      <c r="B26" s="15"/>
      <c r="C26" s="15"/>
      <c r="D26" s="22"/>
      <c r="E26" s="22"/>
      <c r="F26" s="22"/>
      <c r="G26" s="22"/>
      <c r="H26" s="22"/>
      <c r="I26" s="22"/>
      <c r="J26" s="25"/>
      <c r="K26" s="25"/>
      <c r="L26" s="25"/>
      <c r="M26" s="25"/>
      <c r="N26" s="22"/>
      <c r="O26" s="22"/>
      <c r="P26" s="22"/>
      <c r="Q26" s="25"/>
      <c r="R26" s="25"/>
      <c r="S26" s="25"/>
      <c r="T26" s="25"/>
      <c r="U26" s="22"/>
      <c r="V26" s="22"/>
      <c r="W26" s="22"/>
      <c r="X26" s="22"/>
      <c r="Y26" s="22"/>
      <c r="Z26" s="20"/>
      <c r="AA26" s="20"/>
      <c r="AB26" s="20"/>
      <c r="AC26" s="2"/>
      <c r="AD26" s="2"/>
    </row>
    <row r="27" spans="1:30" x14ac:dyDescent="0.25">
      <c r="A27" s="2"/>
      <c r="B27" s="15"/>
      <c r="C27" s="15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20"/>
      <c r="AA27" s="20"/>
      <c r="AB27" s="20"/>
      <c r="AC27" s="2"/>
      <c r="AD27" s="2"/>
    </row>
    <row r="28" spans="1:30" x14ac:dyDescent="0.25">
      <c r="A28" s="2"/>
      <c r="B28" s="15"/>
      <c r="C28" s="16"/>
      <c r="D28" s="17"/>
      <c r="E28" s="16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2"/>
      <c r="AA28" s="2"/>
      <c r="AB28" s="2"/>
      <c r="AC28" s="2"/>
      <c r="AD28" s="2"/>
    </row>
    <row r="29" spans="1:30" x14ac:dyDescent="0.25">
      <c r="A29" s="2"/>
      <c r="B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25">
      <c r="A30" s="2"/>
      <c r="B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25">
      <c r="A31" s="2"/>
      <c r="B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25">
      <c r="A32" s="2"/>
      <c r="B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x14ac:dyDescent="0.25">
      <c r="A33" s="2"/>
      <c r="B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x14ac:dyDescent="0.25">
      <c r="A34" s="2"/>
      <c r="B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66" spans="3:5" x14ac:dyDescent="0.25">
      <c r="C66" s="8" t="s">
        <v>12</v>
      </c>
      <c r="D66" s="8" t="s">
        <v>13</v>
      </c>
      <c r="E66" s="8" t="s">
        <v>14</v>
      </c>
    </row>
    <row r="67" spans="3:5" ht="93" customHeight="1" x14ac:dyDescent="0.25">
      <c r="C67" s="14" t="s">
        <v>15</v>
      </c>
      <c r="D67" s="9">
        <f>SUMIFS(Transactions[AMOUNT],Transactions[TYPE],"Revenue")</f>
        <v>54975</v>
      </c>
      <c r="E67" s="12" t="s">
        <v>16</v>
      </c>
    </row>
    <row r="68" spans="3:5" ht="69.75" customHeight="1" x14ac:dyDescent="0.25">
      <c r="C68" s="14" t="s">
        <v>17</v>
      </c>
      <c r="D68" s="9">
        <f>SUMIFS(Transactions[AMOUNT],Transactions[TYPE],"Expense")</f>
        <v>5435.2599999999966</v>
      </c>
      <c r="E68" s="12" t="s">
        <v>18</v>
      </c>
    </row>
    <row r="69" spans="3:5" ht="93" customHeight="1" x14ac:dyDescent="0.25">
      <c r="C69" s="14" t="s">
        <v>19</v>
      </c>
      <c r="D69" s="9">
        <f>D67-D68</f>
        <v>49539.740000000005</v>
      </c>
      <c r="E69" s="12" t="s">
        <v>20</v>
      </c>
    </row>
    <row r="70" spans="3:5" ht="186" customHeight="1" x14ac:dyDescent="0.25">
      <c r="C70" s="14" t="s">
        <v>21</v>
      </c>
      <c r="D70" s="11">
        <f>IFERROR(D69/D67,0)</f>
        <v>0.90113215097771726</v>
      </c>
      <c r="E70" s="12" t="s">
        <v>22</v>
      </c>
    </row>
    <row r="71" spans="3:5" ht="139.5" customHeight="1" x14ac:dyDescent="0.25">
      <c r="C71" s="14" t="s">
        <v>23</v>
      </c>
      <c r="D71" s="12">
        <f>COUNT(Transactions[AMOUNT])</f>
        <v>103</v>
      </c>
      <c r="E71" s="12" t="s">
        <v>24</v>
      </c>
    </row>
    <row r="72" spans="3:5" ht="162.75" customHeight="1" x14ac:dyDescent="0.25">
      <c r="C72" s="14" t="s">
        <v>25</v>
      </c>
      <c r="D72" s="12">
        <f>COUNTIFS(Transactions[TYPE],"Revenue")</f>
        <v>46</v>
      </c>
      <c r="E72" s="12" t="s">
        <v>26</v>
      </c>
    </row>
    <row r="73" spans="3:5" ht="162.75" customHeight="1" x14ac:dyDescent="0.25">
      <c r="C73" s="14" t="s">
        <v>27</v>
      </c>
      <c r="D73" s="12">
        <f>COUNTIFS(Transactions[TYPE],"Expense")</f>
        <v>57</v>
      </c>
      <c r="E73" s="12" t="s">
        <v>28</v>
      </c>
    </row>
    <row r="74" spans="3:5" ht="139.5" customHeight="1" x14ac:dyDescent="0.25">
      <c r="C74" s="14" t="s">
        <v>29</v>
      </c>
      <c r="D74" s="9">
        <f>IFERROR(AVERAGEIFS(Transactions[AMOUNT],Transactions[TYPE],"Revenue"),0)</f>
        <v>1195.108695652174</v>
      </c>
      <c r="E74" s="12" t="s">
        <v>30</v>
      </c>
    </row>
    <row r="75" spans="3:5" ht="93" customHeight="1" x14ac:dyDescent="0.25">
      <c r="C75" s="14" t="s">
        <v>31</v>
      </c>
      <c r="D75" s="9">
        <f>IFERROR(AVERAGEIFS(Transactions[AMOUNT],Transactions[TYPE],"Expense"),0)</f>
        <v>95.355438596491169</v>
      </c>
      <c r="E75" s="12" t="s">
        <v>32</v>
      </c>
    </row>
  </sheetData>
  <mergeCells count="21">
    <mergeCell ref="T16:V17"/>
    <mergeCell ref="R23:S25"/>
    <mergeCell ref="B2:E3"/>
    <mergeCell ref="D6:E6"/>
    <mergeCell ref="J6:K6"/>
    <mergeCell ref="P6:Q6"/>
    <mergeCell ref="N16:P17"/>
    <mergeCell ref="Q22:R22"/>
    <mergeCell ref="J22:K22"/>
    <mergeCell ref="K23:L25"/>
    <mergeCell ref="H16:J17"/>
    <mergeCell ref="Y2:AC2"/>
    <mergeCell ref="E8:G9"/>
    <mergeCell ref="S14:T14"/>
    <mergeCell ref="Y3:AB3"/>
    <mergeCell ref="Q8:S9"/>
    <mergeCell ref="V6:W6"/>
    <mergeCell ref="G14:H14"/>
    <mergeCell ref="M14:N14"/>
    <mergeCell ref="K8:M9"/>
    <mergeCell ref="W8:Y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37"/>
  <sheetViews>
    <sheetView showGridLines="0" workbookViewId="0">
      <selection activeCell="O29" sqref="O29"/>
    </sheetView>
  </sheetViews>
  <sheetFormatPr defaultRowHeight="15" x14ac:dyDescent="0.25"/>
  <cols>
    <col min="1" max="1" width="3.28515625" customWidth="1"/>
    <col min="2" max="2" width="10.28515625" customWidth="1"/>
    <col min="3" max="3" width="14" bestFit="1" customWidth="1"/>
    <col min="4" max="6" width="16" customWidth="1"/>
    <col min="7" max="7" width="14" customWidth="1"/>
    <col min="8" max="8" width="16" customWidth="1"/>
    <col min="29" max="29" width="12.28515625" customWidth="1"/>
  </cols>
  <sheetData>
    <row r="1" spans="1:42" ht="8.25" customHeight="1" x14ac:dyDescent="0.25">
      <c r="A1" s="5"/>
      <c r="B1" s="5"/>
      <c r="C1" s="5"/>
      <c r="D1" s="5"/>
      <c r="E1" s="5"/>
      <c r="F1" s="5"/>
      <c r="G1" s="32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42" ht="15.75" customHeight="1" x14ac:dyDescent="0.25">
      <c r="A2" s="5"/>
      <c r="B2" s="71" t="s">
        <v>0</v>
      </c>
      <c r="C2" s="83"/>
      <c r="D2" s="83"/>
      <c r="E2" s="83"/>
      <c r="F2" s="5"/>
      <c r="G2" s="32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79"/>
      <c r="Z2" s="83"/>
      <c r="AA2" s="83"/>
      <c r="AB2" s="83"/>
      <c r="AC2" s="83"/>
    </row>
    <row r="3" spans="1:42" ht="18" customHeight="1" x14ac:dyDescent="0.25">
      <c r="A3" s="5"/>
      <c r="B3" s="83"/>
      <c r="C3" s="83"/>
      <c r="D3" s="83"/>
      <c r="E3" s="83"/>
      <c r="F3" s="5"/>
      <c r="G3" s="32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99"/>
      <c r="Z3" s="83"/>
      <c r="AA3" s="83"/>
      <c r="AB3" s="83"/>
      <c r="AC3" s="5"/>
    </row>
    <row r="4" spans="1:42" ht="17.25" customHeight="1" x14ac:dyDescent="0.25">
      <c r="A4" s="5"/>
      <c r="B4" s="6" t="s">
        <v>2</v>
      </c>
      <c r="C4" s="5"/>
      <c r="D4" s="5"/>
      <c r="E4" s="5"/>
      <c r="F4" s="5"/>
      <c r="G4" s="32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42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</row>
    <row r="6" spans="1:42" ht="18.75" customHeight="1" thickBot="1" x14ac:dyDescent="0.3">
      <c r="A6" s="33"/>
      <c r="B6" s="33"/>
      <c r="C6" s="66" t="s">
        <v>61</v>
      </c>
      <c r="D6" s="66" t="s">
        <v>39</v>
      </c>
      <c r="E6" s="66" t="s">
        <v>42</v>
      </c>
      <c r="F6" s="66" t="s">
        <v>62</v>
      </c>
      <c r="G6" s="66" t="s">
        <v>63</v>
      </c>
      <c r="H6" s="66" t="s">
        <v>64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</row>
    <row r="7" spans="1:42" ht="18.75" customHeight="1" x14ac:dyDescent="0.25">
      <c r="A7" s="33"/>
      <c r="B7" s="33"/>
      <c r="C7" s="62">
        <v>46023</v>
      </c>
      <c r="D7" s="63">
        <f>SUMIFS(Transactions[AMOUNT],Transactions[TYPE],"Revenue",Transactions[DATE],"&gt;="&amp;C7,Transactions[DATE],"&lt;"&amp;EDATE(C7,1))</f>
        <v>3075</v>
      </c>
      <c r="E7" s="63">
        <f>SUMIFS(Transactions[AMOUNT],Transactions[TYPE],"Expense",Transactions[DATE],"&gt;="&amp;C7,Transactions[DATE],"&lt;"&amp;EDATE(C7,1))</f>
        <v>318.48</v>
      </c>
      <c r="F7" s="63">
        <f t="shared" ref="F7:F19" si="0">D7-E7</f>
        <v>2756.52</v>
      </c>
      <c r="G7" s="64">
        <f t="shared" ref="G7:G19" si="1">IFERROR(F7/D7,0)</f>
        <v>0.89642926829268288</v>
      </c>
      <c r="H7" s="65" t="s">
        <v>65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</row>
    <row r="8" spans="1:42" ht="18.75" customHeight="1" x14ac:dyDescent="0.25">
      <c r="A8" s="33"/>
      <c r="B8" s="33"/>
      <c r="C8" s="62">
        <f t="shared" ref="C8:C18" si="2">EDATE(C7,1)</f>
        <v>46054</v>
      </c>
      <c r="D8" s="63">
        <f>SUMIFS(Transactions[AMOUNT],Transactions[TYPE],"Revenue",Transactions[DATE],"&gt;="&amp;C8,Transactions[DATE],"&lt;"&amp;EDATE(C8,1))</f>
        <v>3150</v>
      </c>
      <c r="E8" s="63">
        <f>SUMIFS(Transactions[AMOUNT],Transactions[TYPE],"Expense",Transactions[DATE],"&gt;="&amp;C8,Transactions[DATE],"&lt;"&amp;EDATE(C8,1))</f>
        <v>324.98</v>
      </c>
      <c r="F8" s="63">
        <f t="shared" si="0"/>
        <v>2825.02</v>
      </c>
      <c r="G8" s="64">
        <f t="shared" si="1"/>
        <v>0.89683174603174598</v>
      </c>
      <c r="H8" s="65">
        <f t="shared" ref="H8:H18" si="3">IF(OR(D7=0,D8=0),"-",D8/D7-1)</f>
        <v>2.4390243902439046E-2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</row>
    <row r="9" spans="1:42" ht="18.75" customHeight="1" x14ac:dyDescent="0.25">
      <c r="A9" s="33"/>
      <c r="B9" s="33"/>
      <c r="C9" s="62">
        <f t="shared" si="2"/>
        <v>46082</v>
      </c>
      <c r="D9" s="63">
        <f>SUMIFS(Transactions[AMOUNT],Transactions[TYPE],"Revenue",Transactions[DATE],"&gt;="&amp;C9,Transactions[DATE],"&lt;"&amp;EDATE(C9,1))</f>
        <v>3750</v>
      </c>
      <c r="E9" s="63">
        <f>SUMIFS(Transactions[AMOUNT],Transactions[TYPE],"Expense",Transactions[DATE],"&gt;="&amp;C9,Transactions[DATE],"&lt;"&amp;EDATE(C9,1))</f>
        <v>396.98</v>
      </c>
      <c r="F9" s="63">
        <f t="shared" si="0"/>
        <v>3353.02</v>
      </c>
      <c r="G9" s="64">
        <f t="shared" si="1"/>
        <v>0.89413866666666664</v>
      </c>
      <c r="H9" s="65">
        <f t="shared" si="3"/>
        <v>0.19047619047619047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</row>
    <row r="10" spans="1:42" ht="18.75" customHeight="1" x14ac:dyDescent="0.25">
      <c r="A10" s="33"/>
      <c r="B10" s="33"/>
      <c r="C10" s="62">
        <f t="shared" si="2"/>
        <v>46113</v>
      </c>
      <c r="D10" s="63">
        <f>SUMIFS(Transactions[AMOUNT],Transactions[TYPE],"Revenue",Transactions[DATE],"&gt;="&amp;C10,Transactions[DATE],"&lt;"&amp;EDATE(C10,1))</f>
        <v>4200</v>
      </c>
      <c r="E10" s="63">
        <f>SUMIFS(Transactions[AMOUNT],Transactions[TYPE],"Expense",Transactions[DATE],"&gt;="&amp;C10,Transactions[DATE],"&lt;"&amp;EDATE(C10,1))</f>
        <v>464.98</v>
      </c>
      <c r="F10" s="63">
        <f t="shared" si="0"/>
        <v>3735.02</v>
      </c>
      <c r="G10" s="64">
        <f t="shared" si="1"/>
        <v>0.88929047619047619</v>
      </c>
      <c r="H10" s="65">
        <f t="shared" si="3"/>
        <v>0.12000000000000011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</row>
    <row r="11" spans="1:42" ht="18.75" customHeight="1" x14ac:dyDescent="0.25">
      <c r="A11" s="33"/>
      <c r="B11" s="33"/>
      <c r="C11" s="62">
        <f t="shared" si="2"/>
        <v>46143</v>
      </c>
      <c r="D11" s="63">
        <f>SUMIFS(Transactions[AMOUNT],Transactions[TYPE],"Revenue",Transactions[DATE],"&gt;="&amp;C11,Transactions[DATE],"&lt;"&amp;EDATE(C11,1))</f>
        <v>4150</v>
      </c>
      <c r="E11" s="63">
        <f>SUMIFS(Transactions[AMOUNT],Transactions[TYPE],"Expense",Transactions[DATE],"&gt;="&amp;C11,Transactions[DATE],"&lt;"&amp;EDATE(C11,1))</f>
        <v>384.98</v>
      </c>
      <c r="F11" s="63">
        <f t="shared" si="0"/>
        <v>3765.02</v>
      </c>
      <c r="G11" s="64">
        <f t="shared" si="1"/>
        <v>0.90723373493975901</v>
      </c>
      <c r="H11" s="65">
        <f t="shared" si="3"/>
        <v>-1.1904761904761862E-2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</row>
    <row r="12" spans="1:42" ht="18.75" customHeight="1" x14ac:dyDescent="0.25">
      <c r="A12" s="33"/>
      <c r="B12" s="33"/>
      <c r="C12" s="62">
        <f t="shared" si="2"/>
        <v>46174</v>
      </c>
      <c r="D12" s="63">
        <f>SUMIFS(Transactions[AMOUNT],Transactions[TYPE],"Revenue",Transactions[DATE],"&gt;="&amp;C12,Transactions[DATE],"&lt;"&amp;EDATE(C12,1))</f>
        <v>7775</v>
      </c>
      <c r="E12" s="63">
        <f>SUMIFS(Transactions[AMOUNT],Transactions[TYPE],"Expense",Transactions[DATE],"&gt;="&amp;C12,Transactions[DATE],"&lt;"&amp;EDATE(C12,1))</f>
        <v>954.98</v>
      </c>
      <c r="F12" s="63">
        <f t="shared" si="0"/>
        <v>6820.02</v>
      </c>
      <c r="G12" s="64">
        <f t="shared" si="1"/>
        <v>0.87717299035369778</v>
      </c>
      <c r="H12" s="65">
        <f t="shared" si="3"/>
        <v>0.87349397590361444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</row>
    <row r="13" spans="1:42" ht="18.75" customHeight="1" x14ac:dyDescent="0.25">
      <c r="A13" s="33"/>
      <c r="B13" s="33"/>
      <c r="C13" s="62">
        <f t="shared" si="2"/>
        <v>46204</v>
      </c>
      <c r="D13" s="63">
        <f>SUMIFS(Transactions[AMOUNT],Transactions[TYPE],"Revenue",Transactions[DATE],"&gt;="&amp;C13,Transactions[DATE],"&lt;"&amp;EDATE(C13,1))</f>
        <v>4125</v>
      </c>
      <c r="E13" s="63">
        <f>SUMIFS(Transactions[AMOUNT],Transactions[TYPE],"Expense",Transactions[DATE],"&gt;="&amp;C13,Transactions[DATE],"&lt;"&amp;EDATE(C13,1))</f>
        <v>441.98</v>
      </c>
      <c r="F13" s="63">
        <f t="shared" si="0"/>
        <v>3683.02</v>
      </c>
      <c r="G13" s="64">
        <f t="shared" si="1"/>
        <v>0.89285333333333328</v>
      </c>
      <c r="H13" s="65">
        <f t="shared" si="3"/>
        <v>-0.46945337620578775</v>
      </c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</row>
    <row r="14" spans="1:42" ht="18.75" customHeight="1" x14ac:dyDescent="0.25">
      <c r="A14" s="33"/>
      <c r="B14" s="33"/>
      <c r="C14" s="62">
        <f t="shared" si="2"/>
        <v>46235</v>
      </c>
      <c r="D14" s="63">
        <f>SUMIFS(Transactions[AMOUNT],Transactions[TYPE],"Revenue",Transactions[DATE],"&gt;="&amp;C14,Transactions[DATE],"&lt;"&amp;EDATE(C14,1))</f>
        <v>3700</v>
      </c>
      <c r="E14" s="63">
        <f>SUMIFS(Transactions[AMOUNT],Transactions[TYPE],"Expense",Transactions[DATE],"&gt;="&amp;C14,Transactions[DATE],"&lt;"&amp;EDATE(C14,1))</f>
        <v>297.98</v>
      </c>
      <c r="F14" s="63">
        <f t="shared" si="0"/>
        <v>3402.02</v>
      </c>
      <c r="G14" s="64">
        <f t="shared" si="1"/>
        <v>0.91946486486486489</v>
      </c>
      <c r="H14" s="65">
        <f t="shared" si="3"/>
        <v>-0.10303030303030303</v>
      </c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</row>
    <row r="15" spans="1:42" ht="18.75" customHeight="1" x14ac:dyDescent="0.25">
      <c r="A15" s="33"/>
      <c r="B15" s="33"/>
      <c r="C15" s="62">
        <f t="shared" si="2"/>
        <v>46266</v>
      </c>
      <c r="D15" s="63">
        <f>SUMIFS(Transactions[AMOUNT],Transactions[TYPE],"Revenue",Transactions[DATE],"&gt;="&amp;C15,Transactions[DATE],"&lt;"&amp;EDATE(C15,1))</f>
        <v>3750</v>
      </c>
      <c r="E15" s="63">
        <f>SUMIFS(Transactions[AMOUNT],Transactions[TYPE],"Expense",Transactions[DATE],"&gt;="&amp;C15,Transactions[DATE],"&lt;"&amp;EDATE(C15,1))</f>
        <v>364.98</v>
      </c>
      <c r="F15" s="63">
        <f t="shared" si="0"/>
        <v>3385.02</v>
      </c>
      <c r="G15" s="64">
        <f t="shared" si="1"/>
        <v>0.90267200000000003</v>
      </c>
      <c r="H15" s="65">
        <f t="shared" si="3"/>
        <v>1.3513513513513598E-2</v>
      </c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</row>
    <row r="16" spans="1:42" ht="18.75" customHeight="1" x14ac:dyDescent="0.25">
      <c r="A16" s="33"/>
      <c r="B16" s="33"/>
      <c r="C16" s="62">
        <f t="shared" si="2"/>
        <v>46296</v>
      </c>
      <c r="D16" s="63">
        <f>SUMIFS(Transactions[AMOUNT],Transactions[TYPE],"Revenue",Transactions[DATE],"&gt;="&amp;C16,Transactions[DATE],"&lt;"&amp;EDATE(C16,1))</f>
        <v>4800</v>
      </c>
      <c r="E16" s="63">
        <f>SUMIFS(Transactions[AMOUNT],Transactions[TYPE],"Expense",Transactions[DATE],"&gt;="&amp;C16,Transactions[DATE],"&lt;"&amp;EDATE(C16,1))</f>
        <v>404.98</v>
      </c>
      <c r="F16" s="63">
        <f t="shared" si="0"/>
        <v>4395.0200000000004</v>
      </c>
      <c r="G16" s="64">
        <f t="shared" si="1"/>
        <v>0.91562916666666672</v>
      </c>
      <c r="H16" s="65">
        <f t="shared" si="3"/>
        <v>0.28000000000000003</v>
      </c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</row>
    <row r="17" spans="1:42" ht="18.75" customHeight="1" x14ac:dyDescent="0.25">
      <c r="A17" s="33"/>
      <c r="B17" s="33"/>
      <c r="C17" s="62">
        <f t="shared" si="2"/>
        <v>46327</v>
      </c>
      <c r="D17" s="63">
        <f>SUMIFS(Transactions[AMOUNT],Transactions[TYPE],"Revenue",Transactions[DATE],"&gt;="&amp;C17,Transactions[DATE],"&lt;"&amp;EDATE(C17,1))</f>
        <v>5800</v>
      </c>
      <c r="E17" s="63">
        <f>SUMIFS(Transactions[AMOUNT],Transactions[TYPE],"Expense",Transactions[DATE],"&gt;="&amp;C17,Transactions[DATE],"&lt;"&amp;EDATE(C17,1))</f>
        <v>529.98</v>
      </c>
      <c r="F17" s="63">
        <f t="shared" si="0"/>
        <v>5270.02</v>
      </c>
      <c r="G17" s="64">
        <f t="shared" si="1"/>
        <v>0.90862413793103458</v>
      </c>
      <c r="H17" s="65">
        <f t="shared" si="3"/>
        <v>0.20833333333333326</v>
      </c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</row>
    <row r="18" spans="1:42" ht="18.75" customHeight="1" thickBot="1" x14ac:dyDescent="0.3">
      <c r="A18" s="33"/>
      <c r="B18" s="33"/>
      <c r="C18" s="62">
        <f t="shared" si="2"/>
        <v>46357</v>
      </c>
      <c r="D18" s="63">
        <f>SUMIFS(Transactions[AMOUNT],Transactions[TYPE],"Revenue",Transactions[DATE],"&gt;="&amp;C18,Transactions[DATE],"&lt;"&amp;EDATE(C18,1))</f>
        <v>6700</v>
      </c>
      <c r="E18" s="63">
        <f>SUMIFS(Transactions[AMOUNT],Transactions[TYPE],"Expense",Transactions[DATE],"&gt;="&amp;C18,Transactions[DATE],"&lt;"&amp;EDATE(C18,1))</f>
        <v>549.98</v>
      </c>
      <c r="F18" s="63">
        <f t="shared" si="0"/>
        <v>6150.02</v>
      </c>
      <c r="G18" s="64">
        <f t="shared" si="1"/>
        <v>0.91791343283582094</v>
      </c>
      <c r="H18" s="65">
        <f t="shared" si="3"/>
        <v>0.15517241379310343</v>
      </c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</row>
    <row r="19" spans="1:42" ht="18.75" customHeight="1" x14ac:dyDescent="0.25">
      <c r="A19" s="33"/>
      <c r="B19" s="33"/>
      <c r="C19" s="47" t="s">
        <v>66</v>
      </c>
      <c r="D19" s="48">
        <f>SUM(D7:D18)</f>
        <v>54975</v>
      </c>
      <c r="E19" s="48">
        <f>SUM(E7:E18)</f>
        <v>5435.26</v>
      </c>
      <c r="F19" s="48">
        <f t="shared" si="0"/>
        <v>49539.74</v>
      </c>
      <c r="G19" s="49">
        <f t="shared" si="1"/>
        <v>0.90113215097771715</v>
      </c>
      <c r="H19" s="49">
        <f>AVERAGE(H8:H18)</f>
        <v>0.11645374816194015</v>
      </c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</row>
    <row r="20" spans="1:42" x14ac:dyDescent="0.25">
      <c r="A20" s="33"/>
      <c r="B20" s="33"/>
      <c r="C20" s="100" t="s">
        <v>67</v>
      </c>
      <c r="D20" s="100"/>
      <c r="E20" s="50" t="str">
        <f>IF(AND(ROUND(D19-Dashboard!E8,2)=0,ROUND(E19-Dashboard!K8,2)=0),"OK","CHECK")</f>
        <v>OK</v>
      </c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</row>
    <row r="21" spans="1:42" ht="15.75" thickBot="1" x14ac:dyDescent="0.3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</row>
    <row r="22" spans="1:42" ht="24.75" customHeight="1" x14ac:dyDescent="0.25">
      <c r="A22" s="33"/>
      <c r="B22" s="33"/>
      <c r="C22" s="93" t="s">
        <v>68</v>
      </c>
      <c r="D22" s="94"/>
      <c r="E22" s="93" t="s">
        <v>69</v>
      </c>
      <c r="F22" s="94"/>
      <c r="G22" s="93" t="s">
        <v>70</v>
      </c>
      <c r="H22" s="94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</row>
    <row r="23" spans="1:42" ht="20.25" customHeight="1" x14ac:dyDescent="0.25">
      <c r="A23" s="33"/>
      <c r="B23" s="33"/>
      <c r="C23" s="95" t="str">
        <f>IFERROR(TEXT(INDEX($C$7:$C$18,MATCH(SUMPRODUCT(MAX($F$7:$F$18+($D$7:$D$18&lt;=0)*-1E+99)),$F$7:$F$18,0)),"mmm yyyy")&amp;"  |  "&amp;TEXT(SUMPRODUCT(MAX($F$7:$F$18+($D$7:$D$18&lt;=0)*-1E+99)),"$#,##0"),"n/a")</f>
        <v>Jun 2026  |  $6,820</v>
      </c>
      <c r="D23" s="96"/>
      <c r="E23" s="95" t="str">
        <f>IFERROR(TEXT(INDEX($C$7:$C$18,MATCH(SUMPRODUCT(MIN($F$7:$F$18+($D$7:$D$18&lt;=0)*1E+99)),$F$7:$F$18,0)),"mmm yyyy")&amp;"  |  "&amp;TEXT(SUMPRODUCT(MIN($F$7:$F$18+($D$7:$D$18&lt;=0)*1E+99)),"$#,##0"),"n/a")</f>
        <v>Jan 2026  |  $2,757</v>
      </c>
      <c r="F23" s="96"/>
      <c r="G23" s="95">
        <f>IFERROR(AVERAGEIF($D$7:$D$18,"&gt;0",$F$7:$F$18),0)</f>
        <v>4128.3116666666674</v>
      </c>
      <c r="H23" s="96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</row>
    <row r="24" spans="1:42" ht="20.25" customHeight="1" x14ac:dyDescent="0.25">
      <c r="A24" s="33"/>
      <c r="B24" s="33"/>
      <c r="C24" s="97"/>
      <c r="D24" s="98"/>
      <c r="E24" s="97"/>
      <c r="F24" s="98"/>
      <c r="G24" s="97"/>
      <c r="H24" s="98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</row>
    <row r="25" spans="1:42" x14ac:dyDescent="0.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</row>
    <row r="26" spans="1:42" x14ac:dyDescent="0.25">
      <c r="A26" s="33"/>
      <c r="B26" s="33"/>
      <c r="C26" s="92" t="s">
        <v>71</v>
      </c>
      <c r="D26" s="92"/>
      <c r="E26" s="92"/>
      <c r="F26" s="92"/>
      <c r="G26" s="92"/>
      <c r="H26" s="92"/>
      <c r="I26" s="92"/>
      <c r="J26" s="92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</row>
    <row r="27" spans="1:42" x14ac:dyDescent="0.2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</row>
    <row r="28" spans="1:42" x14ac:dyDescent="0.2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</row>
    <row r="29" spans="1:42" x14ac:dyDescent="0.2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</row>
    <row r="30" spans="1:42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</row>
    <row r="31" spans="1:42" x14ac:dyDescent="0.2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</row>
    <row r="32" spans="1:42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</row>
    <row r="33" spans="1:42" x14ac:dyDescent="0.2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</row>
    <row r="34" spans="1:42" x14ac:dyDescent="0.2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</row>
    <row r="35" spans="1:42" x14ac:dyDescent="0.2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</row>
    <row r="36" spans="1:42" x14ac:dyDescent="0.2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</row>
    <row r="37" spans="1:42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</row>
  </sheetData>
  <mergeCells count="11">
    <mergeCell ref="C26:J26"/>
    <mergeCell ref="G22:H22"/>
    <mergeCell ref="E23:F24"/>
    <mergeCell ref="Y2:AC2"/>
    <mergeCell ref="E22:F22"/>
    <mergeCell ref="C22:D22"/>
    <mergeCell ref="Y3:AB3"/>
    <mergeCell ref="C23:D24"/>
    <mergeCell ref="G23:H24"/>
    <mergeCell ref="B2:E3"/>
    <mergeCell ref="C20:D20"/>
  </mergeCells>
  <conditionalFormatting sqref="F7:F18">
    <cfRule type="expression" dxfId="1" priority="1">
      <formula>AND($D7&gt;0,$F7=SUMPRODUCT(MAX($F$7:$F$18+($D$7:$D$18&lt;=0)*-1E+99)))</formula>
    </cfRule>
    <cfRule type="expression" dxfId="0" priority="2">
      <formula>AND($D7&gt;0,$F7=SUMPRODUCT(MIN($F$7:$F$18+($D$7:$D$18&lt;=0)*1E+99)))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20"/>
  <sheetViews>
    <sheetView showGridLines="0" workbookViewId="0">
      <selection activeCell="K7" sqref="K7"/>
    </sheetView>
  </sheetViews>
  <sheetFormatPr defaultRowHeight="15" x14ac:dyDescent="0.25"/>
  <cols>
    <col min="1" max="1" width="3.28515625" customWidth="1"/>
    <col min="2" max="2" width="10.28515625" customWidth="1"/>
    <col min="3" max="3" width="33.5703125" customWidth="1"/>
    <col min="4" max="4" width="18" customWidth="1"/>
    <col min="5" max="5" width="25.42578125" customWidth="1"/>
    <col min="6" max="8" width="6" customWidth="1"/>
    <col min="9" max="9" width="28" customWidth="1"/>
    <col min="10" max="10" width="6" customWidth="1"/>
    <col min="11" max="11" width="20" customWidth="1"/>
  </cols>
  <sheetData>
    <row r="1" spans="1:29" ht="8.25" customHeight="1" x14ac:dyDescent="0.25">
      <c r="A1" s="5"/>
      <c r="B1" s="5"/>
      <c r="C1" s="5"/>
      <c r="D1" s="5"/>
      <c r="E1" s="5"/>
      <c r="F1" s="5"/>
      <c r="G1" s="32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15.75" customHeight="1" x14ac:dyDescent="0.25">
      <c r="A2" s="5"/>
      <c r="B2" s="71" t="s">
        <v>0</v>
      </c>
      <c r="C2" s="83"/>
      <c r="D2" s="83"/>
      <c r="E2" s="83"/>
      <c r="F2" s="5"/>
      <c r="G2" s="32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79"/>
      <c r="Z2" s="83"/>
      <c r="AA2" s="83"/>
      <c r="AB2" s="83"/>
      <c r="AC2" s="83"/>
    </row>
    <row r="3" spans="1:29" ht="18" customHeight="1" x14ac:dyDescent="0.25">
      <c r="A3" s="5"/>
      <c r="B3" s="83"/>
      <c r="C3" s="83"/>
      <c r="D3" s="83"/>
      <c r="E3" s="83"/>
      <c r="F3" s="5"/>
      <c r="G3" s="32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99"/>
      <c r="Z3" s="83"/>
      <c r="AA3" s="83"/>
      <c r="AB3" s="83"/>
      <c r="AC3" s="5"/>
    </row>
    <row r="4" spans="1:29" ht="17.25" customHeight="1" x14ac:dyDescent="0.25">
      <c r="A4" s="5"/>
      <c r="B4" s="6" t="s">
        <v>2</v>
      </c>
      <c r="C4" s="5"/>
      <c r="D4" s="5"/>
      <c r="E4" s="5"/>
      <c r="F4" s="5"/>
      <c r="G4" s="32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6" spans="1:29" ht="18.75" customHeight="1" x14ac:dyDescent="0.3">
      <c r="C6" s="46" t="s">
        <v>36</v>
      </c>
      <c r="D6" s="46" t="s">
        <v>66</v>
      </c>
      <c r="E6" s="67" t="s">
        <v>72</v>
      </c>
      <c r="I6" s="52" t="s">
        <v>73</v>
      </c>
      <c r="K6" s="52" t="s">
        <v>74</v>
      </c>
    </row>
    <row r="7" spans="1:29" ht="18.75" customHeight="1" x14ac:dyDescent="0.3">
      <c r="C7" s="53" t="str">
        <f t="shared" ref="C7:C14" si="0">I8</f>
        <v>Marketing</v>
      </c>
      <c r="D7" s="54">
        <f>SUMIFS(Transactions[AMOUNT],Transactions[TYPE],"Expense",Transactions[CATEGORY],C7)</f>
        <v>2225</v>
      </c>
      <c r="E7" s="55">
        <f t="shared" ref="E7:E14" si="1">IFERROR(D7/$D$16,0)</f>
        <v>0.40936404146259792</v>
      </c>
      <c r="I7" s="53" t="s">
        <v>40</v>
      </c>
      <c r="K7" s="53" t="s">
        <v>39</v>
      </c>
    </row>
    <row r="8" spans="1:29" ht="18.75" customHeight="1" x14ac:dyDescent="0.3">
      <c r="C8" s="53" t="str">
        <f t="shared" si="0"/>
        <v>Supplies</v>
      </c>
      <c r="D8" s="54">
        <f>SUMIFS(Transactions[AMOUNT],Transactions[TYPE],"Expense",Transactions[CATEGORY],C8)</f>
        <v>745.5</v>
      </c>
      <c r="E8" s="55">
        <f t="shared" si="1"/>
        <v>0.13715995186982774</v>
      </c>
      <c r="I8" s="53" t="s">
        <v>47</v>
      </c>
      <c r="K8" s="53" t="s">
        <v>42</v>
      </c>
    </row>
    <row r="9" spans="1:29" ht="18.75" customHeight="1" x14ac:dyDescent="0.3">
      <c r="C9" s="53" t="str">
        <f t="shared" si="0"/>
        <v>Software</v>
      </c>
      <c r="D9" s="54">
        <f>SUMIFS(Transactions[AMOUNT],Transactions[TYPE],"Expense",Transactions[CATEGORY],C9)</f>
        <v>599.88</v>
      </c>
      <c r="E9" s="55">
        <f t="shared" si="1"/>
        <v>0.11036822525509359</v>
      </c>
      <c r="I9" s="53" t="s">
        <v>43</v>
      </c>
    </row>
    <row r="10" spans="1:29" ht="18.75" customHeight="1" x14ac:dyDescent="0.3">
      <c r="C10" s="53" t="str">
        <f t="shared" si="0"/>
        <v>Utilities</v>
      </c>
      <c r="D10" s="54">
        <f>SUMIFS(Transactions[AMOUNT],Transactions[TYPE],"Expense",Transactions[CATEGORY],C10)</f>
        <v>959.88</v>
      </c>
      <c r="E10" s="55">
        <f t="shared" si="1"/>
        <v>0.17660240724454762</v>
      </c>
      <c r="I10" s="53" t="s">
        <v>45</v>
      </c>
    </row>
    <row r="11" spans="1:29" ht="18.75" customHeight="1" x14ac:dyDescent="0.3">
      <c r="C11" s="53" t="str">
        <f t="shared" si="0"/>
        <v>Repairs</v>
      </c>
      <c r="D11" s="54">
        <f>SUMIFS(Transactions[AMOUNT],Transactions[TYPE],"Expense",Transactions[CATEGORY],C11)</f>
        <v>365</v>
      </c>
      <c r="E11" s="55">
        <f t="shared" si="1"/>
        <v>6.7154101183752021E-2</v>
      </c>
      <c r="I11" s="53" t="s">
        <v>49</v>
      </c>
    </row>
    <row r="12" spans="1:29" ht="18.75" customHeight="1" x14ac:dyDescent="0.3">
      <c r="C12" s="53" t="str">
        <f t="shared" si="0"/>
        <v>Equipment</v>
      </c>
      <c r="D12" s="54">
        <f>SUMIFS(Transactions[AMOUNT],Transactions[TYPE],"Expense",Transactions[CATEGORY],C12)</f>
        <v>350</v>
      </c>
      <c r="E12" s="55">
        <f t="shared" si="1"/>
        <v>6.4394343600858092E-2</v>
      </c>
      <c r="I12" s="53" t="s">
        <v>52</v>
      </c>
    </row>
    <row r="13" spans="1:29" ht="18.75" customHeight="1" x14ac:dyDescent="0.3">
      <c r="C13" s="53" t="str">
        <f t="shared" si="0"/>
        <v>Travel</v>
      </c>
      <c r="D13" s="54">
        <f>SUMIFS(Transactions[AMOUNT],Transactions[TYPE],"Expense",Transactions[CATEGORY],C13)</f>
        <v>145</v>
      </c>
      <c r="E13" s="55">
        <f t="shared" si="1"/>
        <v>2.6677656634641212E-2</v>
      </c>
      <c r="I13" s="53" t="s">
        <v>54</v>
      </c>
    </row>
    <row r="14" spans="1:29" ht="18.75" customHeight="1" x14ac:dyDescent="0.3">
      <c r="C14" s="53" t="str">
        <f t="shared" si="0"/>
        <v>Bank Fees</v>
      </c>
      <c r="D14" s="54">
        <f>SUMIFS(Transactions[AMOUNT],Transactions[TYPE],"Expense",Transactions[CATEGORY],C14)</f>
        <v>45</v>
      </c>
      <c r="E14" s="55">
        <f t="shared" si="1"/>
        <v>8.2792727486817562E-3</v>
      </c>
      <c r="I14" s="53" t="s">
        <v>56</v>
      </c>
    </row>
    <row r="15" spans="1:29" ht="18.75" x14ac:dyDescent="0.3">
      <c r="I15" s="53" t="s">
        <v>58</v>
      </c>
    </row>
    <row r="16" spans="1:29" ht="18.75" customHeight="1" x14ac:dyDescent="0.3">
      <c r="C16" s="56" t="s">
        <v>75</v>
      </c>
      <c r="D16" s="57">
        <f>SUM(D7:D14)</f>
        <v>5435.26</v>
      </c>
      <c r="E16" s="58">
        <f>SUM(E7:E14)</f>
        <v>0.99999999999999978</v>
      </c>
    </row>
    <row r="17" spans="3:9" ht="18.75" customHeight="1" x14ac:dyDescent="0.3">
      <c r="C17" s="56" t="s">
        <v>76</v>
      </c>
      <c r="D17" s="59" t="str">
        <f>IF(ROUND(D16-Dashboard!K8,2)=0,"OK","CHECK")</f>
        <v>OK</v>
      </c>
      <c r="E17" s="56"/>
      <c r="I17" s="68"/>
    </row>
    <row r="18" spans="3:9" ht="12" customHeight="1" x14ac:dyDescent="0.3">
      <c r="I18" s="68"/>
    </row>
    <row r="19" spans="3:9" x14ac:dyDescent="0.25">
      <c r="I19" s="51" t="s">
        <v>77</v>
      </c>
    </row>
    <row r="20" spans="3:9" x14ac:dyDescent="0.25">
      <c r="C20" s="51" t="s">
        <v>79</v>
      </c>
      <c r="I20" s="51" t="s">
        <v>78</v>
      </c>
    </row>
  </sheetData>
  <mergeCells count="3">
    <mergeCell ref="Y2:AC2"/>
    <mergeCell ref="B2:E3"/>
    <mergeCell ref="Y3:AB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9"/>
  <sheetViews>
    <sheetView showGridLines="0" zoomScaleNormal="100" workbookViewId="0">
      <selection activeCell="E22" sqref="E22"/>
    </sheetView>
  </sheetViews>
  <sheetFormatPr defaultRowHeight="15" x14ac:dyDescent="0.25"/>
  <cols>
    <col min="1" max="1" width="3.28515625" style="33" customWidth="1"/>
    <col min="2" max="2" width="10.28515625" style="33" customWidth="1"/>
    <col min="3" max="3" width="18" style="41" customWidth="1"/>
    <col min="4" max="4" width="27" style="33" bestFit="1" customWidth="1"/>
    <col min="5" max="5" width="12.85546875" style="33" bestFit="1" customWidth="1"/>
    <col min="6" max="6" width="19.42578125" style="33" bestFit="1" customWidth="1"/>
    <col min="7" max="7" width="21.28515625" style="42" customWidth="1"/>
    <col min="8" max="28" width="9.140625" style="33" customWidth="1"/>
    <col min="29" max="29" width="16.5703125" style="33" customWidth="1"/>
    <col min="30" max="30" width="9.140625" style="33" customWidth="1"/>
    <col min="31" max="16384" width="9.140625" style="33"/>
  </cols>
  <sheetData>
    <row r="1" spans="1:29" ht="8.25" customHeight="1" x14ac:dyDescent="0.25">
      <c r="A1" s="5"/>
      <c r="B1" s="5"/>
      <c r="C1" s="5"/>
      <c r="D1" s="10"/>
      <c r="E1" s="5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" customHeight="1" x14ac:dyDescent="0.25">
      <c r="A2" s="5"/>
      <c r="B2" s="71" t="s">
        <v>0</v>
      </c>
      <c r="C2" s="72"/>
      <c r="D2" s="70"/>
      <c r="E2" s="70"/>
      <c r="F2" s="3"/>
      <c r="G2" s="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69"/>
      <c r="Z2" s="70"/>
      <c r="AA2" s="70"/>
      <c r="AB2" s="70"/>
      <c r="AC2" s="70"/>
    </row>
    <row r="3" spans="1:29" ht="18" customHeight="1" x14ac:dyDescent="0.25">
      <c r="A3" s="5"/>
      <c r="B3" s="70"/>
      <c r="C3" s="72"/>
      <c r="D3" s="70"/>
      <c r="E3" s="70"/>
      <c r="F3" s="3"/>
      <c r="G3" s="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73"/>
      <c r="Z3" s="70"/>
      <c r="AA3" s="70"/>
      <c r="AB3" s="70"/>
      <c r="AC3" s="3"/>
    </row>
    <row r="4" spans="1:29" ht="17.25" customHeight="1" x14ac:dyDescent="0.25">
      <c r="A4" s="5"/>
      <c r="B4" s="6" t="s">
        <v>2</v>
      </c>
      <c r="C4" s="5"/>
      <c r="D4" s="10"/>
      <c r="E4" s="5"/>
      <c r="F4" s="3"/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6" spans="1:29" ht="18.75" customHeight="1" x14ac:dyDescent="0.3">
      <c r="C6" s="34" t="s">
        <v>33</v>
      </c>
      <c r="D6" s="35" t="s">
        <v>34</v>
      </c>
      <c r="E6" s="36" t="s">
        <v>35</v>
      </c>
      <c r="F6" s="35" t="s">
        <v>36</v>
      </c>
      <c r="G6" s="37" t="s">
        <v>37</v>
      </c>
    </row>
    <row r="7" spans="1:29" ht="18.75" customHeight="1" x14ac:dyDescent="0.25">
      <c r="C7" s="38">
        <v>46025</v>
      </c>
      <c r="D7" s="39" t="s">
        <v>38</v>
      </c>
      <c r="E7" s="40" t="s">
        <v>39</v>
      </c>
      <c r="F7" s="40" t="s">
        <v>40</v>
      </c>
      <c r="G7" s="7">
        <v>1250</v>
      </c>
    </row>
    <row r="8" spans="1:29" ht="18.75" customHeight="1" x14ac:dyDescent="0.25">
      <c r="C8" s="38">
        <v>46029</v>
      </c>
      <c r="D8" s="39" t="s">
        <v>41</v>
      </c>
      <c r="E8" s="40" t="s">
        <v>42</v>
      </c>
      <c r="F8" s="40" t="s">
        <v>43</v>
      </c>
      <c r="G8" s="7">
        <v>68.5</v>
      </c>
    </row>
    <row r="9" spans="1:29" ht="18.75" customHeight="1" x14ac:dyDescent="0.25">
      <c r="C9" s="38">
        <v>46034</v>
      </c>
      <c r="D9" s="39" t="s">
        <v>38</v>
      </c>
      <c r="E9" s="40" t="s">
        <v>39</v>
      </c>
      <c r="F9" s="40" t="s">
        <v>40</v>
      </c>
      <c r="G9" s="7">
        <v>850</v>
      </c>
    </row>
    <row r="10" spans="1:29" ht="18.75" customHeight="1" x14ac:dyDescent="0.25">
      <c r="C10" s="38">
        <v>46037</v>
      </c>
      <c r="D10" s="39" t="s">
        <v>44</v>
      </c>
      <c r="E10" s="40" t="s">
        <v>42</v>
      </c>
      <c r="F10" s="40" t="s">
        <v>45</v>
      </c>
      <c r="G10" s="7">
        <v>49.99</v>
      </c>
    </row>
    <row r="11" spans="1:29" ht="18.75" customHeight="1" x14ac:dyDescent="0.25">
      <c r="C11" s="38">
        <v>46041</v>
      </c>
      <c r="D11" s="39" t="s">
        <v>46</v>
      </c>
      <c r="E11" s="40" t="s">
        <v>42</v>
      </c>
      <c r="F11" s="40" t="s">
        <v>47</v>
      </c>
      <c r="G11" s="7">
        <v>120</v>
      </c>
    </row>
    <row r="12" spans="1:29" ht="18.75" customHeight="1" x14ac:dyDescent="0.25">
      <c r="C12" s="38">
        <v>46046</v>
      </c>
      <c r="D12" s="39" t="s">
        <v>38</v>
      </c>
      <c r="E12" s="40" t="s">
        <v>39</v>
      </c>
      <c r="F12" s="40" t="s">
        <v>40</v>
      </c>
      <c r="G12" s="7">
        <v>975</v>
      </c>
    </row>
    <row r="13" spans="1:29" ht="18.75" customHeight="1" x14ac:dyDescent="0.25">
      <c r="C13" s="38">
        <v>46050</v>
      </c>
      <c r="D13" s="39" t="s">
        <v>48</v>
      </c>
      <c r="E13" s="40" t="s">
        <v>42</v>
      </c>
      <c r="F13" s="40" t="s">
        <v>49</v>
      </c>
      <c r="G13" s="7">
        <v>79.989999999999995</v>
      </c>
    </row>
    <row r="14" spans="1:29" ht="18.75" customHeight="1" x14ac:dyDescent="0.25">
      <c r="C14" s="38">
        <v>46055</v>
      </c>
      <c r="D14" s="39" t="s">
        <v>38</v>
      </c>
      <c r="E14" s="40" t="s">
        <v>39</v>
      </c>
      <c r="F14" s="40" t="s">
        <v>40</v>
      </c>
      <c r="G14" s="7">
        <v>1400</v>
      </c>
    </row>
    <row r="15" spans="1:29" ht="18.75" customHeight="1" x14ac:dyDescent="0.25">
      <c r="C15" s="38">
        <v>46058</v>
      </c>
      <c r="D15" s="39" t="s">
        <v>50</v>
      </c>
      <c r="E15" s="40" t="s">
        <v>42</v>
      </c>
      <c r="F15" s="40" t="s">
        <v>43</v>
      </c>
      <c r="G15" s="7">
        <v>45</v>
      </c>
    </row>
    <row r="16" spans="1:29" ht="18.75" customHeight="1" x14ac:dyDescent="0.25">
      <c r="C16" s="38">
        <v>46062</v>
      </c>
      <c r="D16" s="39" t="s">
        <v>38</v>
      </c>
      <c r="E16" s="40" t="s">
        <v>39</v>
      </c>
      <c r="F16" s="40" t="s">
        <v>40</v>
      </c>
      <c r="G16" s="7">
        <v>650</v>
      </c>
    </row>
    <row r="17" spans="3:7" ht="18.75" customHeight="1" x14ac:dyDescent="0.25">
      <c r="C17" s="38">
        <v>46065</v>
      </c>
      <c r="D17" s="39" t="s">
        <v>44</v>
      </c>
      <c r="E17" s="40" t="s">
        <v>42</v>
      </c>
      <c r="F17" s="40" t="s">
        <v>45</v>
      </c>
      <c r="G17" s="7">
        <v>49.99</v>
      </c>
    </row>
    <row r="18" spans="3:7" ht="18.75" customHeight="1" x14ac:dyDescent="0.25">
      <c r="C18" s="38">
        <v>46069</v>
      </c>
      <c r="D18" s="39" t="s">
        <v>46</v>
      </c>
      <c r="E18" s="40" t="s">
        <v>42</v>
      </c>
      <c r="F18" s="40" t="s">
        <v>47</v>
      </c>
      <c r="G18" s="7">
        <v>150</v>
      </c>
    </row>
    <row r="19" spans="3:7" ht="18.75" customHeight="1" x14ac:dyDescent="0.25">
      <c r="C19" s="38">
        <v>46073</v>
      </c>
      <c r="D19" s="39" t="s">
        <v>38</v>
      </c>
      <c r="E19" s="40" t="s">
        <v>39</v>
      </c>
      <c r="F19" s="40" t="s">
        <v>40</v>
      </c>
      <c r="G19" s="7">
        <v>1100</v>
      </c>
    </row>
    <row r="20" spans="3:7" ht="18.75" customHeight="1" x14ac:dyDescent="0.25">
      <c r="C20" s="38">
        <v>46078</v>
      </c>
      <c r="D20" s="39" t="s">
        <v>48</v>
      </c>
      <c r="E20" s="40" t="s">
        <v>42</v>
      </c>
      <c r="F20" s="40" t="s">
        <v>49</v>
      </c>
      <c r="G20" s="7">
        <v>79.989999999999995</v>
      </c>
    </row>
    <row r="21" spans="3:7" ht="18.75" customHeight="1" x14ac:dyDescent="0.25">
      <c r="C21" s="38">
        <v>46083</v>
      </c>
      <c r="D21" s="39" t="s">
        <v>38</v>
      </c>
      <c r="E21" s="40" t="s">
        <v>39</v>
      </c>
      <c r="F21" s="40" t="s">
        <v>40</v>
      </c>
      <c r="G21" s="7">
        <v>1600</v>
      </c>
    </row>
    <row r="22" spans="3:7" ht="18.75" customHeight="1" x14ac:dyDescent="0.25">
      <c r="C22" s="38">
        <v>46086</v>
      </c>
      <c r="D22" s="39" t="s">
        <v>41</v>
      </c>
      <c r="E22" s="40" t="s">
        <v>42</v>
      </c>
      <c r="F22" s="40" t="s">
        <v>43</v>
      </c>
      <c r="G22" s="7">
        <v>92</v>
      </c>
    </row>
    <row r="23" spans="3:7" ht="18.75" customHeight="1" x14ac:dyDescent="0.25">
      <c r="C23" s="38">
        <v>46090</v>
      </c>
      <c r="D23" s="39" t="s">
        <v>38</v>
      </c>
      <c r="E23" s="40" t="s">
        <v>39</v>
      </c>
      <c r="F23" s="40" t="s">
        <v>40</v>
      </c>
      <c r="G23" s="7">
        <v>900</v>
      </c>
    </row>
    <row r="24" spans="3:7" ht="18.75" customHeight="1" x14ac:dyDescent="0.25">
      <c r="C24" s="38">
        <v>46093</v>
      </c>
      <c r="D24" s="39" t="s">
        <v>44</v>
      </c>
      <c r="E24" s="40" t="s">
        <v>42</v>
      </c>
      <c r="F24" s="40" t="s">
        <v>45</v>
      </c>
      <c r="G24" s="7">
        <v>49.99</v>
      </c>
    </row>
    <row r="25" spans="3:7" ht="18.75" customHeight="1" x14ac:dyDescent="0.25">
      <c r="C25" s="38">
        <v>46097</v>
      </c>
      <c r="D25" s="39" t="s">
        <v>46</v>
      </c>
      <c r="E25" s="40" t="s">
        <v>42</v>
      </c>
      <c r="F25" s="40" t="s">
        <v>47</v>
      </c>
      <c r="G25" s="7">
        <v>175</v>
      </c>
    </row>
    <row r="26" spans="3:7" ht="18.75" customHeight="1" x14ac:dyDescent="0.25">
      <c r="C26" s="38">
        <v>46102</v>
      </c>
      <c r="D26" s="39" t="s">
        <v>38</v>
      </c>
      <c r="E26" s="40" t="s">
        <v>39</v>
      </c>
      <c r="F26" s="40" t="s">
        <v>40</v>
      </c>
      <c r="G26" s="7">
        <v>1250</v>
      </c>
    </row>
    <row r="27" spans="3:7" ht="18.75" customHeight="1" x14ac:dyDescent="0.25">
      <c r="C27" s="38">
        <v>46107</v>
      </c>
      <c r="D27" s="39" t="s">
        <v>48</v>
      </c>
      <c r="E27" s="40" t="s">
        <v>42</v>
      </c>
      <c r="F27" s="40" t="s">
        <v>49</v>
      </c>
      <c r="G27" s="7">
        <v>79.989999999999995</v>
      </c>
    </row>
    <row r="28" spans="3:7" ht="18.75" customHeight="1" x14ac:dyDescent="0.25">
      <c r="C28" s="38">
        <v>46113</v>
      </c>
      <c r="D28" s="39" t="s">
        <v>38</v>
      </c>
      <c r="E28" s="40" t="s">
        <v>39</v>
      </c>
      <c r="F28" s="40" t="s">
        <v>40</v>
      </c>
      <c r="G28" s="7">
        <v>1800</v>
      </c>
    </row>
    <row r="29" spans="3:7" ht="18.75" customHeight="1" x14ac:dyDescent="0.25">
      <c r="C29" s="38">
        <v>46116</v>
      </c>
      <c r="D29" s="39" t="s">
        <v>51</v>
      </c>
      <c r="E29" s="40" t="s">
        <v>42</v>
      </c>
      <c r="F29" s="40" t="s">
        <v>52</v>
      </c>
      <c r="G29" s="7">
        <v>135</v>
      </c>
    </row>
    <row r="30" spans="3:7" ht="18.75" customHeight="1" x14ac:dyDescent="0.25">
      <c r="C30" s="38">
        <v>46120</v>
      </c>
      <c r="D30" s="39" t="s">
        <v>38</v>
      </c>
      <c r="E30" s="40" t="s">
        <v>39</v>
      </c>
      <c r="F30" s="40" t="s">
        <v>40</v>
      </c>
      <c r="G30" s="7">
        <v>1050</v>
      </c>
    </row>
    <row r="31" spans="3:7" ht="18.75" customHeight="1" x14ac:dyDescent="0.25">
      <c r="C31" s="38">
        <v>46124</v>
      </c>
      <c r="D31" s="39" t="s">
        <v>44</v>
      </c>
      <c r="E31" s="40" t="s">
        <v>42</v>
      </c>
      <c r="F31" s="40" t="s">
        <v>45</v>
      </c>
      <c r="G31" s="7">
        <v>49.99</v>
      </c>
    </row>
    <row r="32" spans="3:7" ht="18.75" customHeight="1" x14ac:dyDescent="0.25">
      <c r="C32" s="38">
        <v>46127</v>
      </c>
      <c r="D32" s="39" t="s">
        <v>46</v>
      </c>
      <c r="E32" s="40" t="s">
        <v>42</v>
      </c>
      <c r="F32" s="40" t="s">
        <v>47</v>
      </c>
      <c r="G32" s="7">
        <v>200</v>
      </c>
    </row>
    <row r="33" spans="3:7" ht="18.75" customHeight="1" x14ac:dyDescent="0.25">
      <c r="C33" s="38">
        <v>46132</v>
      </c>
      <c r="D33" s="39" t="s">
        <v>38</v>
      </c>
      <c r="E33" s="40" t="s">
        <v>39</v>
      </c>
      <c r="F33" s="40" t="s">
        <v>40</v>
      </c>
      <c r="G33" s="7">
        <v>1350</v>
      </c>
    </row>
    <row r="34" spans="3:7" ht="18.75" customHeight="1" x14ac:dyDescent="0.25">
      <c r="C34" s="38">
        <v>46137</v>
      </c>
      <c r="D34" s="39" t="s">
        <v>48</v>
      </c>
      <c r="E34" s="40" t="s">
        <v>42</v>
      </c>
      <c r="F34" s="40" t="s">
        <v>49</v>
      </c>
      <c r="G34" s="7">
        <v>79.989999999999995</v>
      </c>
    </row>
    <row r="35" spans="3:7" ht="18.75" customHeight="1" x14ac:dyDescent="0.25">
      <c r="C35" s="38">
        <v>46144</v>
      </c>
      <c r="D35" s="39" t="s">
        <v>38</v>
      </c>
      <c r="E35" s="40" t="s">
        <v>39</v>
      </c>
      <c r="F35" s="40" t="s">
        <v>40</v>
      </c>
      <c r="G35" s="7">
        <v>1500</v>
      </c>
    </row>
    <row r="36" spans="3:7" ht="18.75" customHeight="1" x14ac:dyDescent="0.25">
      <c r="C36" s="38">
        <v>46147</v>
      </c>
      <c r="D36" s="39" t="s">
        <v>41</v>
      </c>
      <c r="E36" s="40" t="s">
        <v>42</v>
      </c>
      <c r="F36" s="40" t="s">
        <v>43</v>
      </c>
      <c r="G36" s="7">
        <v>75</v>
      </c>
    </row>
    <row r="37" spans="3:7" ht="18.75" customHeight="1" x14ac:dyDescent="0.25">
      <c r="C37" s="38">
        <v>46151</v>
      </c>
      <c r="D37" s="39" t="s">
        <v>38</v>
      </c>
      <c r="E37" s="40" t="s">
        <v>39</v>
      </c>
      <c r="F37" s="40" t="s">
        <v>40</v>
      </c>
      <c r="G37" s="7">
        <v>1200</v>
      </c>
    </row>
    <row r="38" spans="3:7" ht="18.75" customHeight="1" x14ac:dyDescent="0.25">
      <c r="C38" s="38">
        <v>46154</v>
      </c>
      <c r="D38" s="39" t="s">
        <v>44</v>
      </c>
      <c r="E38" s="40" t="s">
        <v>42</v>
      </c>
      <c r="F38" s="40" t="s">
        <v>45</v>
      </c>
      <c r="G38" s="7">
        <v>49.99</v>
      </c>
    </row>
    <row r="39" spans="3:7" ht="18.75" customHeight="1" x14ac:dyDescent="0.25">
      <c r="C39" s="38">
        <v>46158</v>
      </c>
      <c r="D39" s="39" t="s">
        <v>46</v>
      </c>
      <c r="E39" s="40" t="s">
        <v>42</v>
      </c>
      <c r="F39" s="40" t="s">
        <v>47</v>
      </c>
      <c r="G39" s="7">
        <v>180</v>
      </c>
    </row>
    <row r="40" spans="3:7" ht="18.75" customHeight="1" x14ac:dyDescent="0.25">
      <c r="C40" s="38">
        <v>46163</v>
      </c>
      <c r="D40" s="39" t="s">
        <v>38</v>
      </c>
      <c r="E40" s="40" t="s">
        <v>39</v>
      </c>
      <c r="F40" s="40" t="s">
        <v>40</v>
      </c>
      <c r="G40" s="7">
        <v>1450</v>
      </c>
    </row>
    <row r="41" spans="3:7" ht="18.75" customHeight="1" x14ac:dyDescent="0.25">
      <c r="C41" s="38">
        <v>46168</v>
      </c>
      <c r="D41" s="39" t="s">
        <v>48</v>
      </c>
      <c r="E41" s="40" t="s">
        <v>42</v>
      </c>
      <c r="F41" s="40" t="s">
        <v>49</v>
      </c>
      <c r="G41" s="7">
        <v>79.989999999999995</v>
      </c>
    </row>
    <row r="42" spans="3:7" ht="18.75" customHeight="1" x14ac:dyDescent="0.25">
      <c r="C42" s="38">
        <v>46174</v>
      </c>
      <c r="D42" s="39" t="s">
        <v>38</v>
      </c>
      <c r="E42" s="40" t="s">
        <v>39</v>
      </c>
      <c r="F42" s="40" t="s">
        <v>40</v>
      </c>
      <c r="G42" s="7">
        <v>1950</v>
      </c>
    </row>
    <row r="43" spans="3:7" ht="18.75" customHeight="1" x14ac:dyDescent="0.25">
      <c r="C43" s="38">
        <v>46177</v>
      </c>
      <c r="D43" s="39" t="s">
        <v>53</v>
      </c>
      <c r="E43" s="40" t="s">
        <v>42</v>
      </c>
      <c r="F43" s="40" t="s">
        <v>54</v>
      </c>
      <c r="G43" s="7">
        <v>350</v>
      </c>
    </row>
    <row r="44" spans="3:7" ht="18.75" customHeight="1" x14ac:dyDescent="0.25">
      <c r="C44" s="38">
        <v>46181</v>
      </c>
      <c r="D44" s="39" t="s">
        <v>38</v>
      </c>
      <c r="E44" s="40" t="s">
        <v>39</v>
      </c>
      <c r="F44" s="40" t="s">
        <v>40</v>
      </c>
      <c r="G44" s="7">
        <v>1150</v>
      </c>
    </row>
    <row r="45" spans="3:7" ht="18.75" customHeight="1" x14ac:dyDescent="0.25">
      <c r="C45" s="38">
        <v>46185</v>
      </c>
      <c r="D45" s="39" t="s">
        <v>44</v>
      </c>
      <c r="E45" s="40" t="s">
        <v>42</v>
      </c>
      <c r="F45" s="40" t="s">
        <v>45</v>
      </c>
      <c r="G45" s="7">
        <v>49.99</v>
      </c>
    </row>
    <row r="46" spans="3:7" ht="18.75" customHeight="1" x14ac:dyDescent="0.25">
      <c r="C46" s="38">
        <v>46188</v>
      </c>
      <c r="D46" s="39" t="s">
        <v>46</v>
      </c>
      <c r="E46" s="40" t="s">
        <v>42</v>
      </c>
      <c r="F46" s="40" t="s">
        <v>47</v>
      </c>
      <c r="G46" s="7">
        <v>225</v>
      </c>
    </row>
    <row r="47" spans="3:7" ht="18.75" customHeight="1" x14ac:dyDescent="0.25">
      <c r="C47" s="38">
        <v>46193</v>
      </c>
      <c r="D47" s="39" t="s">
        <v>38</v>
      </c>
      <c r="E47" s="40" t="s">
        <v>39</v>
      </c>
      <c r="F47" s="40" t="s">
        <v>40</v>
      </c>
      <c r="G47" s="7">
        <v>1600</v>
      </c>
    </row>
    <row r="48" spans="3:7" ht="18.75" customHeight="1" x14ac:dyDescent="0.25">
      <c r="C48" s="38">
        <v>46198</v>
      </c>
      <c r="D48" s="39" t="s">
        <v>48</v>
      </c>
      <c r="E48" s="40" t="s">
        <v>42</v>
      </c>
      <c r="F48" s="40" t="s">
        <v>49</v>
      </c>
      <c r="G48" s="7">
        <v>79.989999999999995</v>
      </c>
    </row>
    <row r="49" spans="3:7" ht="18.75" customHeight="1" x14ac:dyDescent="0.25">
      <c r="C49" s="38">
        <v>46200</v>
      </c>
      <c r="D49" s="39" t="s">
        <v>38</v>
      </c>
      <c r="E49" s="40" t="s">
        <v>39</v>
      </c>
      <c r="F49" s="40" t="s">
        <v>40</v>
      </c>
      <c r="G49" s="7">
        <v>750</v>
      </c>
    </row>
    <row r="50" spans="3:7" ht="18.75" customHeight="1" x14ac:dyDescent="0.25">
      <c r="C50" s="38">
        <v>46201</v>
      </c>
      <c r="D50" s="39" t="s">
        <v>55</v>
      </c>
      <c r="E50" s="40" t="s">
        <v>42</v>
      </c>
      <c r="F50" s="40" t="s">
        <v>56</v>
      </c>
      <c r="G50" s="7">
        <v>85</v>
      </c>
    </row>
    <row r="51" spans="3:7" ht="18.75" customHeight="1" x14ac:dyDescent="0.25">
      <c r="C51" s="38">
        <v>46202</v>
      </c>
      <c r="D51" s="39" t="s">
        <v>38</v>
      </c>
      <c r="E51" s="40" t="s">
        <v>39</v>
      </c>
      <c r="F51" s="40" t="s">
        <v>40</v>
      </c>
      <c r="G51" s="7">
        <v>925</v>
      </c>
    </row>
    <row r="52" spans="3:7" ht="18.75" customHeight="1" x14ac:dyDescent="0.25">
      <c r="C52" s="38">
        <v>46203</v>
      </c>
      <c r="D52" s="39" t="s">
        <v>41</v>
      </c>
      <c r="E52" s="40" t="s">
        <v>42</v>
      </c>
      <c r="F52" s="40" t="s">
        <v>43</v>
      </c>
      <c r="G52" s="7">
        <v>55</v>
      </c>
    </row>
    <row r="53" spans="3:7" ht="18.75" customHeight="1" x14ac:dyDescent="0.25">
      <c r="C53" s="38">
        <v>46203</v>
      </c>
      <c r="D53" s="39" t="s">
        <v>57</v>
      </c>
      <c r="E53" s="40" t="s">
        <v>42</v>
      </c>
      <c r="F53" s="40" t="s">
        <v>58</v>
      </c>
      <c r="G53" s="7">
        <v>15</v>
      </c>
    </row>
    <row r="54" spans="3:7" ht="18.75" customHeight="1" x14ac:dyDescent="0.25">
      <c r="C54" s="38">
        <v>46203</v>
      </c>
      <c r="D54" s="39" t="s">
        <v>38</v>
      </c>
      <c r="E54" s="40" t="s">
        <v>39</v>
      </c>
      <c r="F54" s="40" t="s">
        <v>40</v>
      </c>
      <c r="G54" s="7">
        <v>600</v>
      </c>
    </row>
    <row r="55" spans="3:7" ht="18.75" customHeight="1" x14ac:dyDescent="0.25">
      <c r="C55" s="38">
        <v>46203</v>
      </c>
      <c r="D55" s="39" t="s">
        <v>59</v>
      </c>
      <c r="E55" s="40" t="s">
        <v>42</v>
      </c>
      <c r="F55" s="40" t="s">
        <v>47</v>
      </c>
      <c r="G55" s="7">
        <v>95</v>
      </c>
    </row>
    <row r="56" spans="3:7" ht="18.75" customHeight="1" x14ac:dyDescent="0.25">
      <c r="C56" s="38">
        <v>46203</v>
      </c>
      <c r="D56" s="39" t="s">
        <v>38</v>
      </c>
      <c r="E56" s="40" t="s">
        <v>39</v>
      </c>
      <c r="F56" s="40" t="s">
        <v>40</v>
      </c>
      <c r="G56" s="7">
        <v>800</v>
      </c>
    </row>
    <row r="57" spans="3:7" ht="18.75" customHeight="1" x14ac:dyDescent="0.25">
      <c r="C57" s="38">
        <v>46204</v>
      </c>
      <c r="D57" s="39" t="s">
        <v>60</v>
      </c>
      <c r="E57" s="40" t="s">
        <v>42</v>
      </c>
      <c r="F57" s="40" t="s">
        <v>52</v>
      </c>
      <c r="G57" s="7">
        <v>110</v>
      </c>
    </row>
    <row r="58" spans="3:7" ht="18.75" customHeight="1" x14ac:dyDescent="0.25">
      <c r="C58" s="38">
        <v>46206</v>
      </c>
      <c r="D58" s="39" t="s">
        <v>38</v>
      </c>
      <c r="E58" s="40" t="s">
        <v>39</v>
      </c>
      <c r="F58" s="40" t="s">
        <v>40</v>
      </c>
      <c r="G58" s="7">
        <v>1200</v>
      </c>
    </row>
    <row r="59" spans="3:7" ht="18.75" customHeight="1" x14ac:dyDescent="0.25">
      <c r="C59" s="38">
        <v>46209</v>
      </c>
      <c r="D59" s="39" t="s">
        <v>41</v>
      </c>
      <c r="E59" s="40" t="s">
        <v>42</v>
      </c>
      <c r="F59" s="40" t="s">
        <v>43</v>
      </c>
      <c r="G59" s="7">
        <v>62</v>
      </c>
    </row>
    <row r="60" spans="3:7" ht="18.75" customHeight="1" x14ac:dyDescent="0.25">
      <c r="C60" s="38">
        <v>46213</v>
      </c>
      <c r="D60" s="39" t="s">
        <v>38</v>
      </c>
      <c r="E60" s="40" t="s">
        <v>39</v>
      </c>
      <c r="F60" s="40" t="s">
        <v>40</v>
      </c>
      <c r="G60" s="7">
        <v>850</v>
      </c>
    </row>
    <row r="61" spans="3:7" ht="18.75" customHeight="1" x14ac:dyDescent="0.25">
      <c r="C61" s="38">
        <v>46215</v>
      </c>
      <c r="D61" s="39" t="s">
        <v>44</v>
      </c>
      <c r="E61" s="40" t="s">
        <v>42</v>
      </c>
      <c r="F61" s="40" t="s">
        <v>45</v>
      </c>
      <c r="G61" s="7">
        <v>49.99</v>
      </c>
    </row>
    <row r="62" spans="3:7" ht="18.75" customHeight="1" x14ac:dyDescent="0.25">
      <c r="C62" s="38">
        <v>46219</v>
      </c>
      <c r="D62" s="39" t="s">
        <v>46</v>
      </c>
      <c r="E62" s="40" t="s">
        <v>42</v>
      </c>
      <c r="F62" s="40" t="s">
        <v>47</v>
      </c>
      <c r="G62" s="7">
        <v>140</v>
      </c>
    </row>
    <row r="63" spans="3:7" ht="18.75" customHeight="1" x14ac:dyDescent="0.25">
      <c r="C63" s="38">
        <v>46221</v>
      </c>
      <c r="D63" s="39" t="s">
        <v>38</v>
      </c>
      <c r="E63" s="40" t="s">
        <v>39</v>
      </c>
      <c r="F63" s="40" t="s">
        <v>40</v>
      </c>
      <c r="G63" s="7">
        <v>975</v>
      </c>
    </row>
    <row r="64" spans="3:7" ht="18.75" customHeight="1" x14ac:dyDescent="0.25">
      <c r="C64" s="38">
        <v>46228</v>
      </c>
      <c r="D64" s="39" t="s">
        <v>48</v>
      </c>
      <c r="E64" s="40" t="s">
        <v>42</v>
      </c>
      <c r="F64" s="40" t="s">
        <v>49</v>
      </c>
      <c r="G64" s="7">
        <v>79.989999999999995</v>
      </c>
    </row>
    <row r="65" spans="3:7" ht="18.75" customHeight="1" x14ac:dyDescent="0.25">
      <c r="C65" s="38">
        <v>46230</v>
      </c>
      <c r="D65" s="39" t="s">
        <v>38</v>
      </c>
      <c r="E65" s="40" t="s">
        <v>39</v>
      </c>
      <c r="F65" s="40" t="s">
        <v>40</v>
      </c>
      <c r="G65" s="7">
        <v>1100</v>
      </c>
    </row>
    <row r="66" spans="3:7" ht="18.75" customHeight="1" x14ac:dyDescent="0.25">
      <c r="C66" s="38">
        <v>46237</v>
      </c>
      <c r="D66" s="39" t="s">
        <v>38</v>
      </c>
      <c r="E66" s="40" t="s">
        <v>39</v>
      </c>
      <c r="F66" s="40" t="s">
        <v>40</v>
      </c>
      <c r="G66" s="7">
        <v>1100</v>
      </c>
    </row>
    <row r="67" spans="3:7" ht="18.75" customHeight="1" x14ac:dyDescent="0.25">
      <c r="C67" s="38">
        <v>46239</v>
      </c>
      <c r="D67" s="39" t="s">
        <v>50</v>
      </c>
      <c r="E67" s="40" t="s">
        <v>42</v>
      </c>
      <c r="F67" s="40" t="s">
        <v>43</v>
      </c>
      <c r="G67" s="7">
        <v>38</v>
      </c>
    </row>
    <row r="68" spans="3:7" ht="18.75" customHeight="1" x14ac:dyDescent="0.25">
      <c r="C68" s="38">
        <v>46245</v>
      </c>
      <c r="D68" s="39" t="s">
        <v>38</v>
      </c>
      <c r="E68" s="40" t="s">
        <v>39</v>
      </c>
      <c r="F68" s="40" t="s">
        <v>40</v>
      </c>
      <c r="G68" s="7">
        <v>750</v>
      </c>
    </row>
    <row r="69" spans="3:7" ht="18.75" customHeight="1" x14ac:dyDescent="0.25">
      <c r="C69" s="38">
        <v>46246</v>
      </c>
      <c r="D69" s="39" t="s">
        <v>44</v>
      </c>
      <c r="E69" s="40" t="s">
        <v>42</v>
      </c>
      <c r="F69" s="40" t="s">
        <v>45</v>
      </c>
      <c r="G69" s="7">
        <v>49.99</v>
      </c>
    </row>
    <row r="70" spans="3:7" ht="18.75" customHeight="1" x14ac:dyDescent="0.25">
      <c r="C70" s="38">
        <v>46250</v>
      </c>
      <c r="D70" s="39" t="s">
        <v>46</v>
      </c>
      <c r="E70" s="40" t="s">
        <v>42</v>
      </c>
      <c r="F70" s="40" t="s">
        <v>47</v>
      </c>
      <c r="G70" s="7">
        <v>130</v>
      </c>
    </row>
    <row r="71" spans="3:7" ht="18.75" customHeight="1" x14ac:dyDescent="0.25">
      <c r="C71" s="38">
        <v>46253</v>
      </c>
      <c r="D71" s="39" t="s">
        <v>38</v>
      </c>
      <c r="E71" s="40" t="s">
        <v>39</v>
      </c>
      <c r="F71" s="40" t="s">
        <v>40</v>
      </c>
      <c r="G71" s="7">
        <v>900</v>
      </c>
    </row>
    <row r="72" spans="3:7" ht="18.75" customHeight="1" x14ac:dyDescent="0.25">
      <c r="C72" s="38">
        <v>46259</v>
      </c>
      <c r="D72" s="39" t="s">
        <v>48</v>
      </c>
      <c r="E72" s="40" t="s">
        <v>42</v>
      </c>
      <c r="F72" s="40" t="s">
        <v>49</v>
      </c>
      <c r="G72" s="7">
        <v>79.989999999999995</v>
      </c>
    </row>
    <row r="73" spans="3:7" ht="18.75" customHeight="1" x14ac:dyDescent="0.25">
      <c r="C73" s="38">
        <v>46261</v>
      </c>
      <c r="D73" s="39" t="s">
        <v>38</v>
      </c>
      <c r="E73" s="40" t="s">
        <v>39</v>
      </c>
      <c r="F73" s="40" t="s">
        <v>40</v>
      </c>
      <c r="G73" s="7">
        <v>950</v>
      </c>
    </row>
    <row r="74" spans="3:7" ht="18.75" customHeight="1" x14ac:dyDescent="0.25">
      <c r="C74" s="38">
        <v>46267</v>
      </c>
      <c r="D74" s="39" t="s">
        <v>38</v>
      </c>
      <c r="E74" s="40" t="s">
        <v>39</v>
      </c>
      <c r="F74" s="40" t="s">
        <v>40</v>
      </c>
      <c r="G74" s="7">
        <v>1050</v>
      </c>
    </row>
    <row r="75" spans="3:7" ht="18.75" customHeight="1" x14ac:dyDescent="0.25">
      <c r="C75" s="38">
        <v>46269</v>
      </c>
      <c r="D75" s="39" t="s">
        <v>41</v>
      </c>
      <c r="E75" s="40" t="s">
        <v>42</v>
      </c>
      <c r="F75" s="40" t="s">
        <v>43</v>
      </c>
      <c r="G75" s="7">
        <v>70</v>
      </c>
    </row>
    <row r="76" spans="3:7" ht="18.75" customHeight="1" x14ac:dyDescent="0.25">
      <c r="C76" s="38">
        <v>46274</v>
      </c>
      <c r="D76" s="39" t="s">
        <v>38</v>
      </c>
      <c r="E76" s="40" t="s">
        <v>39</v>
      </c>
      <c r="F76" s="40" t="s">
        <v>40</v>
      </c>
      <c r="G76" s="7">
        <v>800</v>
      </c>
    </row>
    <row r="77" spans="3:7" ht="18.75" customHeight="1" x14ac:dyDescent="0.25">
      <c r="C77" s="38">
        <v>46277</v>
      </c>
      <c r="D77" s="39" t="s">
        <v>44</v>
      </c>
      <c r="E77" s="40" t="s">
        <v>42</v>
      </c>
      <c r="F77" s="40" t="s">
        <v>45</v>
      </c>
      <c r="G77" s="7">
        <v>49.99</v>
      </c>
    </row>
    <row r="78" spans="3:7" ht="18.75" customHeight="1" x14ac:dyDescent="0.25">
      <c r="C78" s="38">
        <v>46281</v>
      </c>
      <c r="D78" s="39" t="s">
        <v>46</v>
      </c>
      <c r="E78" s="40" t="s">
        <v>42</v>
      </c>
      <c r="F78" s="40" t="s">
        <v>47</v>
      </c>
      <c r="G78" s="7">
        <v>150</v>
      </c>
    </row>
    <row r="79" spans="3:7" ht="18.75" customHeight="1" x14ac:dyDescent="0.25">
      <c r="C79" s="38">
        <v>46282</v>
      </c>
      <c r="D79" s="39" t="s">
        <v>38</v>
      </c>
      <c r="E79" s="40" t="s">
        <v>39</v>
      </c>
      <c r="F79" s="40" t="s">
        <v>40</v>
      </c>
      <c r="G79" s="7">
        <v>1000</v>
      </c>
    </row>
    <row r="80" spans="3:7" ht="18.75" customHeight="1" x14ac:dyDescent="0.25">
      <c r="C80" s="38">
        <v>46290</v>
      </c>
      <c r="D80" s="39" t="s">
        <v>48</v>
      </c>
      <c r="E80" s="40" t="s">
        <v>42</v>
      </c>
      <c r="F80" s="40" t="s">
        <v>49</v>
      </c>
      <c r="G80" s="7">
        <v>79.989999999999995</v>
      </c>
    </row>
    <row r="81" spans="3:7" ht="18.75" customHeight="1" x14ac:dyDescent="0.25">
      <c r="C81" s="38">
        <v>46293</v>
      </c>
      <c r="D81" s="39" t="s">
        <v>38</v>
      </c>
      <c r="E81" s="40" t="s">
        <v>39</v>
      </c>
      <c r="F81" s="40" t="s">
        <v>40</v>
      </c>
      <c r="G81" s="7">
        <v>900</v>
      </c>
    </row>
    <row r="82" spans="3:7" ht="18.75" customHeight="1" x14ac:dyDescent="0.25">
      <c r="C82" s="38">
        <v>46294</v>
      </c>
      <c r="D82" s="39" t="s">
        <v>57</v>
      </c>
      <c r="E82" s="40" t="s">
        <v>42</v>
      </c>
      <c r="F82" s="40" t="s">
        <v>58</v>
      </c>
      <c r="G82" s="7">
        <v>15</v>
      </c>
    </row>
    <row r="83" spans="3:7" ht="18.75" customHeight="1" x14ac:dyDescent="0.25">
      <c r="C83" s="38">
        <v>46296</v>
      </c>
      <c r="D83" s="39" t="s">
        <v>38</v>
      </c>
      <c r="E83" s="40" t="s">
        <v>39</v>
      </c>
      <c r="F83" s="40" t="s">
        <v>40</v>
      </c>
      <c r="G83" s="7">
        <v>1300</v>
      </c>
    </row>
    <row r="84" spans="3:7" ht="18.75" customHeight="1" x14ac:dyDescent="0.25">
      <c r="C84" s="38">
        <v>46300</v>
      </c>
      <c r="D84" s="39" t="s">
        <v>41</v>
      </c>
      <c r="E84" s="40" t="s">
        <v>42</v>
      </c>
      <c r="F84" s="40" t="s">
        <v>43</v>
      </c>
      <c r="G84" s="7">
        <v>85</v>
      </c>
    </row>
    <row r="85" spans="3:7" ht="18.75" customHeight="1" x14ac:dyDescent="0.25">
      <c r="C85" s="38">
        <v>46303</v>
      </c>
      <c r="D85" s="39" t="s">
        <v>38</v>
      </c>
      <c r="E85" s="40" t="s">
        <v>39</v>
      </c>
      <c r="F85" s="40" t="s">
        <v>40</v>
      </c>
      <c r="G85" s="7">
        <v>1100</v>
      </c>
    </row>
    <row r="86" spans="3:7" ht="18.75" customHeight="1" x14ac:dyDescent="0.25">
      <c r="C86" s="38">
        <v>46307</v>
      </c>
      <c r="D86" s="39" t="s">
        <v>44</v>
      </c>
      <c r="E86" s="40" t="s">
        <v>42</v>
      </c>
      <c r="F86" s="40" t="s">
        <v>45</v>
      </c>
      <c r="G86" s="7">
        <v>49.99</v>
      </c>
    </row>
    <row r="87" spans="3:7" ht="18.75" customHeight="1" x14ac:dyDescent="0.25">
      <c r="C87" s="38">
        <v>46310</v>
      </c>
      <c r="D87" s="39" t="s">
        <v>38</v>
      </c>
      <c r="E87" s="40" t="s">
        <v>39</v>
      </c>
      <c r="F87" s="40" t="s">
        <v>40</v>
      </c>
      <c r="G87" s="7">
        <v>1450</v>
      </c>
    </row>
    <row r="88" spans="3:7" ht="18.75" customHeight="1" x14ac:dyDescent="0.25">
      <c r="C88" s="38">
        <v>46311</v>
      </c>
      <c r="D88" s="39" t="s">
        <v>46</v>
      </c>
      <c r="E88" s="40" t="s">
        <v>42</v>
      </c>
      <c r="F88" s="40" t="s">
        <v>47</v>
      </c>
      <c r="G88" s="7">
        <v>190</v>
      </c>
    </row>
    <row r="89" spans="3:7" ht="18.75" customHeight="1" x14ac:dyDescent="0.25">
      <c r="C89" s="38">
        <v>46315</v>
      </c>
      <c r="D89" s="39" t="s">
        <v>48</v>
      </c>
      <c r="E89" s="40" t="s">
        <v>42</v>
      </c>
      <c r="F89" s="40" t="s">
        <v>49</v>
      </c>
      <c r="G89" s="7">
        <v>79.989999999999995</v>
      </c>
    </row>
    <row r="90" spans="3:7" ht="18.75" customHeight="1" x14ac:dyDescent="0.25">
      <c r="C90" s="38">
        <v>46316</v>
      </c>
      <c r="D90" s="39" t="s">
        <v>38</v>
      </c>
      <c r="E90" s="40" t="s">
        <v>39</v>
      </c>
      <c r="F90" s="40" t="s">
        <v>40</v>
      </c>
      <c r="G90" s="7">
        <v>950</v>
      </c>
    </row>
    <row r="91" spans="3:7" ht="18.75" customHeight="1" x14ac:dyDescent="0.25">
      <c r="C91" s="38">
        <v>46328</v>
      </c>
      <c r="D91" s="39" t="s">
        <v>38</v>
      </c>
      <c r="E91" s="40" t="s">
        <v>39</v>
      </c>
      <c r="F91" s="40" t="s">
        <v>40</v>
      </c>
      <c r="G91" s="7">
        <v>1500</v>
      </c>
    </row>
    <row r="92" spans="3:7" ht="18.75" customHeight="1" x14ac:dyDescent="0.25">
      <c r="C92" s="38">
        <v>46330</v>
      </c>
      <c r="D92" s="39" t="s">
        <v>51</v>
      </c>
      <c r="E92" s="40" t="s">
        <v>42</v>
      </c>
      <c r="F92" s="40" t="s">
        <v>52</v>
      </c>
      <c r="G92" s="7">
        <v>120</v>
      </c>
    </row>
    <row r="93" spans="3:7" ht="18.75" customHeight="1" x14ac:dyDescent="0.25">
      <c r="C93" s="38">
        <v>46335</v>
      </c>
      <c r="D93" s="39" t="s">
        <v>38</v>
      </c>
      <c r="E93" s="40" t="s">
        <v>39</v>
      </c>
      <c r="F93" s="40" t="s">
        <v>40</v>
      </c>
      <c r="G93" s="7">
        <v>1250</v>
      </c>
    </row>
    <row r="94" spans="3:7" ht="18.75" customHeight="1" x14ac:dyDescent="0.25">
      <c r="C94" s="38">
        <v>46338</v>
      </c>
      <c r="D94" s="39" t="s">
        <v>44</v>
      </c>
      <c r="E94" s="40" t="s">
        <v>42</v>
      </c>
      <c r="F94" s="40" t="s">
        <v>45</v>
      </c>
      <c r="G94" s="7">
        <v>49.99</v>
      </c>
    </row>
    <row r="95" spans="3:7" ht="18.75" customHeight="1" x14ac:dyDescent="0.25">
      <c r="C95" s="38">
        <v>46342</v>
      </c>
      <c r="D95" s="39" t="s">
        <v>46</v>
      </c>
      <c r="E95" s="40" t="s">
        <v>42</v>
      </c>
      <c r="F95" s="40" t="s">
        <v>47</v>
      </c>
      <c r="G95" s="7">
        <v>220</v>
      </c>
    </row>
    <row r="96" spans="3:7" ht="18.75" customHeight="1" x14ac:dyDescent="0.25">
      <c r="C96" s="38">
        <v>46343</v>
      </c>
      <c r="D96" s="39" t="s">
        <v>38</v>
      </c>
      <c r="E96" s="40" t="s">
        <v>39</v>
      </c>
      <c r="F96" s="40" t="s">
        <v>40</v>
      </c>
      <c r="G96" s="7">
        <v>1700</v>
      </c>
    </row>
    <row r="97" spans="3:7" ht="18.75" customHeight="1" x14ac:dyDescent="0.25">
      <c r="C97" s="38">
        <v>46346</v>
      </c>
      <c r="D97" s="39" t="s">
        <v>55</v>
      </c>
      <c r="E97" s="40" t="s">
        <v>42</v>
      </c>
      <c r="F97" s="40" t="s">
        <v>56</v>
      </c>
      <c r="G97" s="7">
        <v>60</v>
      </c>
    </row>
    <row r="98" spans="3:7" ht="18.75" customHeight="1" x14ac:dyDescent="0.25">
      <c r="C98" s="38">
        <v>46350</v>
      </c>
      <c r="D98" s="39" t="s">
        <v>38</v>
      </c>
      <c r="E98" s="40" t="s">
        <v>39</v>
      </c>
      <c r="F98" s="40" t="s">
        <v>40</v>
      </c>
      <c r="G98" s="7">
        <v>1350</v>
      </c>
    </row>
    <row r="99" spans="3:7" ht="18.75" customHeight="1" x14ac:dyDescent="0.25">
      <c r="C99" s="38">
        <v>46351</v>
      </c>
      <c r="D99" s="39" t="s">
        <v>48</v>
      </c>
      <c r="E99" s="40" t="s">
        <v>42</v>
      </c>
      <c r="F99" s="40" t="s">
        <v>49</v>
      </c>
      <c r="G99" s="7">
        <v>79.989999999999995</v>
      </c>
    </row>
    <row r="100" spans="3:7" ht="18.75" customHeight="1" x14ac:dyDescent="0.25">
      <c r="C100" s="38">
        <v>46357</v>
      </c>
      <c r="D100" s="39" t="s">
        <v>38</v>
      </c>
      <c r="E100" s="40" t="s">
        <v>39</v>
      </c>
      <c r="F100" s="40" t="s">
        <v>40</v>
      </c>
      <c r="G100" s="7">
        <v>1800</v>
      </c>
    </row>
    <row r="101" spans="3:7" ht="18.75" customHeight="1" x14ac:dyDescent="0.25">
      <c r="C101" s="38">
        <v>46359</v>
      </c>
      <c r="D101" s="39" t="s">
        <v>41</v>
      </c>
      <c r="E101" s="40" t="s">
        <v>42</v>
      </c>
      <c r="F101" s="40" t="s">
        <v>43</v>
      </c>
      <c r="G101" s="7">
        <v>95</v>
      </c>
    </row>
    <row r="102" spans="3:7" ht="18.75" customHeight="1" x14ac:dyDescent="0.25">
      <c r="C102" s="38">
        <v>46364</v>
      </c>
      <c r="D102" s="39" t="s">
        <v>38</v>
      </c>
      <c r="E102" s="40" t="s">
        <v>39</v>
      </c>
      <c r="F102" s="40" t="s">
        <v>40</v>
      </c>
      <c r="G102" s="7">
        <v>1400</v>
      </c>
    </row>
    <row r="103" spans="3:7" ht="18.75" customHeight="1" x14ac:dyDescent="0.25">
      <c r="C103" s="38">
        <v>46366</v>
      </c>
      <c r="D103" s="39" t="s">
        <v>57</v>
      </c>
      <c r="E103" s="40" t="s">
        <v>42</v>
      </c>
      <c r="F103" s="40" t="s">
        <v>58</v>
      </c>
      <c r="G103" s="7">
        <v>15</v>
      </c>
    </row>
    <row r="104" spans="3:7" ht="18.75" customHeight="1" x14ac:dyDescent="0.25">
      <c r="C104" s="38">
        <v>46368</v>
      </c>
      <c r="D104" s="39" t="s">
        <v>44</v>
      </c>
      <c r="E104" s="40" t="s">
        <v>42</v>
      </c>
      <c r="F104" s="40" t="s">
        <v>45</v>
      </c>
      <c r="G104" s="7">
        <v>49.99</v>
      </c>
    </row>
    <row r="105" spans="3:7" ht="18.75" customHeight="1" x14ac:dyDescent="0.25">
      <c r="C105" s="38">
        <v>46371</v>
      </c>
      <c r="D105" s="39" t="s">
        <v>38</v>
      </c>
      <c r="E105" s="40" t="s">
        <v>39</v>
      </c>
      <c r="F105" s="40" t="s">
        <v>40</v>
      </c>
      <c r="G105" s="7">
        <v>1900</v>
      </c>
    </row>
    <row r="106" spans="3:7" ht="18.75" customHeight="1" x14ac:dyDescent="0.25">
      <c r="C106" s="38">
        <v>46372</v>
      </c>
      <c r="D106" s="39" t="s">
        <v>46</v>
      </c>
      <c r="E106" s="40" t="s">
        <v>42</v>
      </c>
      <c r="F106" s="40" t="s">
        <v>47</v>
      </c>
      <c r="G106" s="7">
        <v>250</v>
      </c>
    </row>
    <row r="107" spans="3:7" ht="18.75" customHeight="1" x14ac:dyDescent="0.25">
      <c r="C107" s="38">
        <v>46374</v>
      </c>
      <c r="D107" s="39" t="s">
        <v>50</v>
      </c>
      <c r="E107" s="40" t="s">
        <v>42</v>
      </c>
      <c r="F107" s="40" t="s">
        <v>43</v>
      </c>
      <c r="G107" s="7">
        <v>60</v>
      </c>
    </row>
    <row r="108" spans="3:7" ht="18.75" customHeight="1" x14ac:dyDescent="0.25">
      <c r="C108" s="38">
        <v>46378</v>
      </c>
      <c r="D108" s="39" t="s">
        <v>38</v>
      </c>
      <c r="E108" s="40" t="s">
        <v>39</v>
      </c>
      <c r="F108" s="40" t="s">
        <v>40</v>
      </c>
      <c r="G108" s="7">
        <v>1600</v>
      </c>
    </row>
    <row r="109" spans="3:7" ht="18.75" customHeight="1" x14ac:dyDescent="0.25">
      <c r="C109" s="38">
        <v>46382</v>
      </c>
      <c r="D109" s="39" t="s">
        <v>48</v>
      </c>
      <c r="E109" s="40" t="s">
        <v>42</v>
      </c>
      <c r="F109" s="40" t="s">
        <v>49</v>
      </c>
      <c r="G109" s="7">
        <v>79.989999999999995</v>
      </c>
    </row>
  </sheetData>
  <mergeCells count="3">
    <mergeCell ref="Y2:AC2"/>
    <mergeCell ref="B2:E3"/>
    <mergeCell ref="Y3:AB3"/>
  </mergeCells>
  <dataValidations count="3">
    <dataValidation type="list" allowBlank="1" showErrorMessage="1" errorTitle="Invalid type" error="Choose Revenue or Expense from the list." sqref="E7:E500" xr:uid="{00000000-0002-0000-0200-000000000000}">
      <formula1>"Revenue,Expense"</formula1>
    </dataValidation>
    <dataValidation type="decimal" operator="greaterThan" allowBlank="1" showErrorMessage="1" errorTitle="Invalid amount" error="Enter a positive number. Use the TYPE column to mark money in vs. out." sqref="G7:G500" xr:uid="{00000000-0002-0000-0200-000002000000}">
      <formula1>0</formula1>
    </dataValidation>
    <dataValidation type="date" operator="greaterThan" allowBlank="1" showErrorMessage="1" errorTitle="Invalid date" error="Enter a valid date." sqref="C7:C500" xr:uid="{00000000-0002-0000-0200-000003000000}">
      <formula1>36526</formula1>
    </dataValidation>
  </dataValidations>
  <pageMargins left="0.7" right="0.7" top="0.75" bottom="0.75" header="0.3" footer="0.3"/>
  <pageSetup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Unknown category" error="Pick a category from the list (add new ones on the Expenses sheet)." xr:uid="{00000000-0002-0000-0200-000001000000}">
          <x14:formula1>
            <xm:f>Expenses!$I$7:$I$15</xm:f>
          </x14:formula1>
          <xm:sqref>F7:F500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Performance</vt:lpstr>
      <vt:lpstr>Monthly Performance</vt:lpstr>
      <vt:lpstr>Expenses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🦍 ^3^</cp:lastModifiedBy>
  <dcterms:created xsi:type="dcterms:W3CDTF">2026-10-18T06:13:15Z</dcterms:created>
  <dcterms:modified xsi:type="dcterms:W3CDTF">2026-10-24T06:38:41Z</dcterms:modified>
</cp:coreProperties>
</file>